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rasad/Data/Stocks/Dasparc-Capital/"/>
    </mc:Choice>
  </mc:AlternateContent>
  <xr:revisionPtr revIDLastSave="0" documentId="13_ncr:1_{C75C19D3-8CCD-F24F-9D91-560AC7DC5436}" xr6:coauthVersionLast="47" xr6:coauthVersionMax="47" xr10:uidLastSave="{00000000-0000-0000-0000-000000000000}"/>
  <bookViews>
    <workbookView xWindow="0" yWindow="680" windowWidth="29400" windowHeight="16740" xr2:uid="{0B36B6A0-2720-41CF-B289-397E14AB5A0A}"/>
  </bookViews>
  <sheets>
    <sheet name="trading_journal" sheetId="1" r:id="rId1"/>
  </sheets>
  <definedNames>
    <definedName name="_xlnm._FilterDatabase" localSheetId="0" hidden="1">trading_journal!$A$1:$U$58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63" i="1" l="1"/>
  <c r="U64" i="1"/>
  <c r="U65" i="1"/>
  <c r="S64" i="1"/>
  <c r="L65" i="1"/>
  <c r="S65" i="1" s="1"/>
  <c r="L56" i="1"/>
  <c r="S56" i="1" s="1"/>
  <c r="I65" i="1"/>
  <c r="I64" i="1"/>
  <c r="J65" i="1"/>
  <c r="J64" i="1"/>
  <c r="S63" i="1"/>
  <c r="J63" i="1"/>
  <c r="I63" i="1"/>
  <c r="S61" i="1"/>
  <c r="S62" i="1"/>
  <c r="L55" i="1"/>
  <c r="L60" i="1"/>
  <c r="S60" i="1" s="1"/>
  <c r="U62" i="1"/>
  <c r="U61" i="1"/>
  <c r="L61" i="1"/>
  <c r="J61" i="1"/>
  <c r="J62" i="1"/>
  <c r="I61" i="1"/>
  <c r="I62" i="1"/>
  <c r="S57" i="1"/>
  <c r="I57" i="1"/>
  <c r="U57" i="1"/>
  <c r="I56" i="1"/>
  <c r="U56" i="1"/>
  <c r="J57" i="1"/>
  <c r="J56" i="1"/>
  <c r="L36" i="1"/>
  <c r="S36" i="1" s="1"/>
  <c r="L37" i="1"/>
  <c r="S37" i="1" s="1"/>
  <c r="L29" i="1"/>
  <c r="U46" i="1"/>
  <c r="U48" i="1"/>
  <c r="U49" i="1"/>
  <c r="U51" i="1"/>
  <c r="U52" i="1"/>
  <c r="U53" i="1"/>
  <c r="U54" i="1"/>
  <c r="U55" i="1"/>
  <c r="U58" i="1"/>
  <c r="U59" i="1"/>
  <c r="U60" i="1"/>
  <c r="U43" i="1"/>
  <c r="U44" i="1"/>
  <c r="U50" i="1"/>
  <c r="L46" i="1"/>
  <c r="S46" i="1" s="1"/>
  <c r="L48" i="1"/>
  <c r="S48" i="1" s="1"/>
  <c r="L49" i="1"/>
  <c r="S49" i="1" s="1"/>
  <c r="L51" i="1"/>
  <c r="S51" i="1" s="1"/>
  <c r="L52" i="1"/>
  <c r="S52" i="1" s="1"/>
  <c r="S53" i="1"/>
  <c r="S54" i="1"/>
  <c r="S55" i="1"/>
  <c r="L58" i="1"/>
  <c r="S58" i="1" s="1"/>
  <c r="S59" i="1"/>
  <c r="L43" i="1"/>
  <c r="S43" i="1" s="1"/>
  <c r="L44" i="1"/>
  <c r="S44" i="1" s="1"/>
  <c r="L50" i="1"/>
  <c r="S50" i="1" s="1"/>
  <c r="J46" i="1"/>
  <c r="J48" i="1"/>
  <c r="J49" i="1"/>
  <c r="J51" i="1"/>
  <c r="J52" i="1"/>
  <c r="J53" i="1"/>
  <c r="J54" i="1"/>
  <c r="J55" i="1"/>
  <c r="J58" i="1"/>
  <c r="J59" i="1"/>
  <c r="J60" i="1"/>
  <c r="J43" i="1"/>
  <c r="J44" i="1"/>
  <c r="J50" i="1"/>
  <c r="I46" i="1"/>
  <c r="I48" i="1"/>
  <c r="I49" i="1"/>
  <c r="I51" i="1"/>
  <c r="I52" i="1"/>
  <c r="I53" i="1"/>
  <c r="I54" i="1"/>
  <c r="I55" i="1"/>
  <c r="I58" i="1"/>
  <c r="I59" i="1"/>
  <c r="I60" i="1"/>
  <c r="I43" i="1"/>
  <c r="I44" i="1"/>
  <c r="I50" i="1"/>
  <c r="U45" i="1"/>
  <c r="U47" i="1"/>
  <c r="U40" i="1"/>
  <c r="U41" i="1"/>
  <c r="U42" i="1"/>
  <c r="F47" i="1"/>
  <c r="J47" i="1" s="1"/>
  <c r="F45" i="1"/>
  <c r="J45" i="1" s="1"/>
  <c r="I47" i="1"/>
  <c r="J42" i="1"/>
  <c r="I42" i="1"/>
  <c r="L42" i="1"/>
  <c r="S42" i="1" s="1"/>
  <c r="I40" i="1"/>
  <c r="I41" i="1"/>
  <c r="L40" i="1"/>
  <c r="S40" i="1" s="1"/>
  <c r="S41" i="1"/>
  <c r="J40" i="1"/>
  <c r="J41" i="1"/>
  <c r="L30" i="1"/>
  <c r="L25" i="1"/>
  <c r="S25" i="1" s="1"/>
  <c r="L20" i="1"/>
  <c r="S20" i="1" s="1"/>
  <c r="L34" i="1"/>
  <c r="L17" i="1"/>
  <c r="S17" i="1" s="1"/>
  <c r="L16" i="1"/>
  <c r="L35" i="1"/>
  <c r="S35" i="1" s="1"/>
  <c r="L39" i="1"/>
  <c r="L33" i="1"/>
  <c r="L27" i="1"/>
  <c r="U37" i="1"/>
  <c r="U36" i="1"/>
  <c r="U35" i="1"/>
  <c r="I35" i="1"/>
  <c r="I36" i="1"/>
  <c r="I37" i="1"/>
  <c r="I45" i="1"/>
  <c r="J35" i="1"/>
  <c r="J36" i="1"/>
  <c r="J37" i="1"/>
  <c r="L45" i="1"/>
  <c r="S45" i="1" s="1"/>
  <c r="L47" i="1"/>
  <c r="S47" i="1" s="1"/>
  <c r="I33" i="1"/>
  <c r="I34" i="1"/>
  <c r="L38" i="1"/>
  <c r="S38" i="1" s="1"/>
  <c r="I38" i="1"/>
  <c r="L32" i="1"/>
  <c r="L18" i="1"/>
  <c r="S18" i="1" s="1"/>
  <c r="L19" i="1"/>
  <c r="S19" i="1" s="1"/>
  <c r="L24" i="1"/>
  <c r="S24" i="1" s="1"/>
  <c r="L26" i="1"/>
  <c r="I31" i="1"/>
  <c r="I32" i="1"/>
  <c r="I30" i="1"/>
  <c r="L28" i="1"/>
  <c r="I18" i="1"/>
  <c r="I22" i="1"/>
  <c r="I19" i="1"/>
  <c r="I20" i="1"/>
  <c r="I23" i="1"/>
  <c r="I24" i="1"/>
  <c r="I25" i="1"/>
  <c r="I26" i="1"/>
  <c r="I27" i="1"/>
  <c r="I28" i="1"/>
  <c r="I29" i="1"/>
  <c r="U23" i="1"/>
  <c r="I17" i="1"/>
  <c r="I16" i="1"/>
  <c r="J29" i="1"/>
  <c r="J30" i="1"/>
  <c r="J32" i="1"/>
  <c r="J31" i="1"/>
  <c r="J33" i="1"/>
  <c r="J34" i="1"/>
  <c r="J38" i="1"/>
  <c r="J39" i="1"/>
  <c r="U29" i="1"/>
  <c r="U31" i="1"/>
  <c r="U33" i="1"/>
  <c r="U34" i="1"/>
  <c r="L7" i="1"/>
  <c r="S7" i="1" s="1"/>
  <c r="L22" i="1"/>
  <c r="S22" i="1" s="1"/>
  <c r="L21" i="1"/>
  <c r="S21" i="1" s="1"/>
  <c r="U24" i="1"/>
  <c r="U25" i="1"/>
  <c r="U26" i="1"/>
  <c r="U27" i="1"/>
  <c r="U28" i="1"/>
  <c r="J24" i="1"/>
  <c r="J25" i="1"/>
  <c r="J26" i="1"/>
  <c r="J27" i="1"/>
  <c r="J28" i="1"/>
  <c r="J19" i="1"/>
  <c r="J20" i="1"/>
  <c r="J23" i="1"/>
  <c r="U19" i="1"/>
  <c r="U20" i="1"/>
  <c r="J21" i="1"/>
  <c r="J16" i="1"/>
  <c r="J17" i="1"/>
  <c r="J18" i="1"/>
  <c r="J22" i="1"/>
  <c r="S16" i="1"/>
  <c r="L13" i="1"/>
  <c r="S13" i="1" s="1"/>
  <c r="U21" i="1"/>
  <c r="U16" i="1"/>
  <c r="U17" i="1"/>
  <c r="U22" i="1"/>
  <c r="L8" i="1"/>
  <c r="S8" i="1" s="1"/>
  <c r="J8" i="1"/>
  <c r="U8" i="1"/>
  <c r="L11" i="1"/>
  <c r="S11" i="1" s="1"/>
  <c r="L10" i="1"/>
  <c r="S10" i="1" s="1"/>
  <c r="J9" i="1"/>
  <c r="H9" i="1"/>
  <c r="U9" i="1" s="1"/>
  <c r="U10" i="1"/>
  <c r="U11" i="1"/>
  <c r="H2" i="1"/>
  <c r="U2" i="1" s="1"/>
  <c r="H12" i="1"/>
  <c r="U12" i="1" s="1"/>
  <c r="H14" i="1"/>
  <c r="U14" i="1" s="1"/>
  <c r="U13" i="1"/>
  <c r="H15" i="1"/>
  <c r="U15" i="1" s="1"/>
  <c r="H3" i="1"/>
  <c r="U3" i="1" s="1"/>
  <c r="H4" i="1"/>
  <c r="U4" i="1" s="1"/>
  <c r="H5" i="1"/>
  <c r="U5" i="1" s="1"/>
  <c r="H6" i="1"/>
  <c r="L6" i="1" s="1"/>
  <c r="S6" i="1" s="1"/>
  <c r="J2" i="1"/>
  <c r="J10" i="1"/>
  <c r="J12" i="1"/>
  <c r="J14" i="1"/>
  <c r="J13" i="1"/>
  <c r="J15" i="1"/>
  <c r="J11" i="1"/>
  <c r="J3" i="1"/>
  <c r="J4" i="1"/>
  <c r="J5" i="1"/>
  <c r="J6" i="1"/>
  <c r="J7" i="1"/>
  <c r="U7" i="1"/>
  <c r="L5" i="1" l="1"/>
  <c r="S5" i="1" s="1"/>
  <c r="L3" i="1"/>
  <c r="S3" i="1" s="1"/>
  <c r="L2" i="1"/>
  <c r="S2" i="1" s="1"/>
  <c r="L4" i="1"/>
  <c r="S4" i="1" s="1"/>
  <c r="L9" i="1"/>
  <c r="S9" i="1" s="1"/>
  <c r="U38" i="1"/>
  <c r="S34" i="1"/>
  <c r="S33" i="1"/>
  <c r="L31" i="1"/>
  <c r="S31" i="1" s="1"/>
  <c r="S29" i="1"/>
  <c r="S27" i="1"/>
  <c r="L23" i="1"/>
  <c r="S23" i="1" s="1"/>
  <c r="S28" i="1"/>
  <c r="S26" i="1"/>
  <c r="L15" i="1"/>
  <c r="S15" i="1" s="1"/>
  <c r="L14" i="1"/>
  <c r="S14" i="1" s="1"/>
  <c r="L12" i="1"/>
  <c r="S12" i="1" s="1"/>
  <c r="U6" i="1"/>
  <c r="U18" i="1"/>
  <c r="S30" i="1"/>
  <c r="U30" i="1" l="1"/>
  <c r="S32" i="1"/>
  <c r="U32" i="1"/>
  <c r="S39" i="1"/>
  <c r="I39" i="1"/>
  <c r="U39" i="1"/>
</calcChain>
</file>

<file path=xl/sharedStrings.xml><?xml version="1.0" encoding="utf-8"?>
<sst xmlns="http://schemas.openxmlformats.org/spreadsheetml/2006/main" count="506" uniqueCount="128">
  <si>
    <t>Date</t>
  </si>
  <si>
    <t>Instrument</t>
  </si>
  <si>
    <t>Direction</t>
  </si>
  <si>
    <t>Entry</t>
  </si>
  <si>
    <t>SL</t>
  </si>
  <si>
    <t>Target</t>
  </si>
  <si>
    <t>Exit</t>
  </si>
  <si>
    <t>Size</t>
  </si>
  <si>
    <t>Risk</t>
  </si>
  <si>
    <t>RRR</t>
  </si>
  <si>
    <t>Result</t>
  </si>
  <si>
    <t>P&amp;L</t>
  </si>
  <si>
    <t>Entry Reason</t>
  </si>
  <si>
    <t>Exit Reason</t>
  </si>
  <si>
    <t>Mistakes/Emotions</t>
  </si>
  <si>
    <t>Notes</t>
  </si>
  <si>
    <t>Trade Type</t>
  </si>
  <si>
    <t>Currency</t>
  </si>
  <si>
    <t>P&amp;L (INR)</t>
  </si>
  <si>
    <t>Status</t>
  </si>
  <si>
    <t>Funds INR</t>
  </si>
  <si>
    <t>Greaves Cotton</t>
  </si>
  <si>
    <t>Long</t>
  </si>
  <si>
    <t>Double bottom</t>
  </si>
  <si>
    <t>Weekly Day</t>
  </si>
  <si>
    <t>INR</t>
  </si>
  <si>
    <t>DODLA Dairy</t>
  </si>
  <si>
    <t>Weekly Breakout</t>
  </si>
  <si>
    <t>MANAPPURAM</t>
  </si>
  <si>
    <t>Momentum PNF Breakout</t>
  </si>
  <si>
    <t>Zone 1 Breakout</t>
  </si>
  <si>
    <t>SBI Card</t>
  </si>
  <si>
    <t>KRBL</t>
  </si>
  <si>
    <t>Phase 1 Breakout continue</t>
  </si>
  <si>
    <t>Apollo TUBE</t>
  </si>
  <si>
    <t xml:space="preserve"> Breakout continue</t>
  </si>
  <si>
    <t>ERIS LIFESCIENCES</t>
  </si>
  <si>
    <t>CITY UNION BANK</t>
  </si>
  <si>
    <t>RADICO KHAITAN</t>
  </si>
  <si>
    <t>INDIAN BANK</t>
  </si>
  <si>
    <t>GODREJ AGROVET</t>
  </si>
  <si>
    <t xml:space="preserve"> Breakout of consodilation</t>
  </si>
  <si>
    <t>OAL</t>
  </si>
  <si>
    <t>Loss</t>
  </si>
  <si>
    <t>Trailing Stop Loss Hit</t>
  </si>
  <si>
    <t>Closed</t>
  </si>
  <si>
    <t>Profit</t>
  </si>
  <si>
    <t xml:space="preserve">HOME First Finance Company </t>
  </si>
  <si>
    <t xml:space="preserve">cup and handle </t>
  </si>
  <si>
    <t>Take Profit Hit</t>
  </si>
  <si>
    <t>SL Hit</t>
  </si>
  <si>
    <t>laurus labs</t>
  </si>
  <si>
    <t xml:space="preserve">Daimod patter </t>
  </si>
  <si>
    <t>CHOLAHLDNG</t>
  </si>
  <si>
    <t>All time Breakout with cup and handle</t>
  </si>
  <si>
    <t>NAM-INDIA</t>
  </si>
  <si>
    <t xml:space="preserve">All time Breakout </t>
  </si>
  <si>
    <t>ASTERDM</t>
  </si>
  <si>
    <t>LLOYDSME</t>
  </si>
  <si>
    <t>ENDURANCE</t>
  </si>
  <si>
    <t>Mahindra &amp; Mahindra</t>
  </si>
  <si>
    <t>SBFC Finance</t>
  </si>
  <si>
    <t>Consodulation Breakout And Retest</t>
  </si>
  <si>
    <t>The stop loss was set too tight and I didn’t consider the Average True Range (ATR) on the weekly chart to determine an appropriate stop loss level.</t>
  </si>
  <si>
    <t>The stop loss was based on the daily chart ATR but the trailing stop step was too tight which caused the trailing stop loss to be triggered prematurely.</t>
  </si>
  <si>
    <t>W - CMO 41  CRSI 0.06  RSI 63</t>
  </si>
  <si>
    <t>Patanjali Foods</t>
  </si>
  <si>
    <t xml:space="preserve">Support Level </t>
  </si>
  <si>
    <t xml:space="preserve">All Time Breakout Retest  </t>
  </si>
  <si>
    <t>Supriya Lifescience</t>
  </si>
  <si>
    <t>APL Apollo Tubes</t>
  </si>
  <si>
    <t>Astra Microwave Products</t>
  </si>
  <si>
    <t>Symmetrical Triangle</t>
  </si>
  <si>
    <t>Support Level - 3 green doji with more than avg volumne</t>
  </si>
  <si>
    <t>All time hight as support level but didn’t wait for revarsal</t>
  </si>
  <si>
    <t xml:space="preserve">W - CMO -55  CRSI 0.07 avg 0.7 RSI 42 MVA below 10 40 52 </t>
  </si>
  <si>
    <t xml:space="preserve">W - CMO 31  CRSI 0.03 avg 0.2 RSI 54 MVA above 40 52 </t>
  </si>
  <si>
    <t xml:space="preserve">W - CMO 7.40  CRSI 0.07  RSI 53 MVA above 40 52 </t>
  </si>
  <si>
    <t xml:space="preserve">W - CMO 24.94  CRSI 0.04 avg 0.03  RSI 58 MVA above 40 52 </t>
  </si>
  <si>
    <t>Castrol</t>
  </si>
  <si>
    <t>Diamod Pattern</t>
  </si>
  <si>
    <t>Schneider Electric Infra</t>
  </si>
  <si>
    <t xml:space="preserve">PULL BACK </t>
  </si>
  <si>
    <t>HBL Engineering</t>
  </si>
  <si>
    <t>Short</t>
  </si>
  <si>
    <t xml:space="preserve">Try to Buy Closed possition Again </t>
  </si>
  <si>
    <t>Daily</t>
  </si>
  <si>
    <t>Mastek</t>
  </si>
  <si>
    <t>Lupin</t>
  </si>
  <si>
    <t>Eveready Industries</t>
  </si>
  <si>
    <t>To convert Trade</t>
  </si>
  <si>
    <t>VPC</t>
  </si>
  <si>
    <t>triangle breakout</t>
  </si>
  <si>
    <t>consodukation breakout</t>
  </si>
  <si>
    <t>Take Profit Hit change to 1:3</t>
  </si>
  <si>
    <t xml:space="preserve"> as it already 22% position size and sl need to change</t>
  </si>
  <si>
    <t>Cut possition cause weekly trade with no movementum</t>
  </si>
  <si>
    <t>Godrej Industries</t>
  </si>
  <si>
    <t>Flair Writing Industries</t>
  </si>
  <si>
    <t>Exist cause moving to daily time frame</t>
  </si>
  <si>
    <t>Trailing Stop Loss Hit almost reach 1:4</t>
  </si>
  <si>
    <t>Welspun Corp</t>
  </si>
  <si>
    <t>Star Health Insurance</t>
  </si>
  <si>
    <t>Great Eastern Shipping Company</t>
  </si>
  <si>
    <t>Laurus Labs</t>
  </si>
  <si>
    <t>Torrent Pharmaceuticals</t>
  </si>
  <si>
    <t>VST Tillers Tractors</t>
  </si>
  <si>
    <t>Bata</t>
  </si>
  <si>
    <t>Laxmi Organic Industries</t>
  </si>
  <si>
    <t>Sammaan Capital</t>
  </si>
  <si>
    <t>Aegis Logistics</t>
  </si>
  <si>
    <t>Avalon Technologies</t>
  </si>
  <si>
    <t>Manaksia Coated Metals &amp; Ind</t>
  </si>
  <si>
    <t>India pesticides</t>
  </si>
  <si>
    <t>karur vysya bank</t>
  </si>
  <si>
    <t>railtel corporation</t>
  </si>
  <si>
    <t>Ramky infrastructure</t>
  </si>
  <si>
    <t>Mangalore Refinery</t>
  </si>
  <si>
    <t>TD Power System</t>
  </si>
  <si>
    <t>Tatva Chintan Pharma</t>
  </si>
  <si>
    <t xml:space="preserve">it went 1:3 but then revert and SL hit </t>
  </si>
  <si>
    <t>Trailing Stop Loss Hit reach 1:5</t>
  </si>
  <si>
    <t xml:space="preserve">it went 1:5 but then revert and trailing SL hit same day where that movement was huge with big volume </t>
  </si>
  <si>
    <t>Tata Communications</t>
  </si>
  <si>
    <t>Sandur Manganese &amp; Iron</t>
  </si>
  <si>
    <t>Privi Speciality chemicals</t>
  </si>
  <si>
    <t>VPC - Old setup</t>
  </si>
  <si>
    <t>TP hit by mistake kept neat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</si>
</sst>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14" fillId="0" borderId="10" xfId="0" applyFont="1" applyBorder="1"/>
    <xf numFmtId="14" fontId="14" fillId="0" borderId="10" xfId="0" applyNumberFormat="1" applyFont="1" applyBorder="1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0FE0B-E5CF-476B-8F9F-EA27021FD68D}">
  <dimension ref="A1:U65"/>
  <sheetViews>
    <sheetView tabSelected="1" workbookViewId="0">
      <selection activeCell="T57" sqref="A1:U65"/>
    </sheetView>
  </sheetViews>
  <sheetFormatPr baseColWidth="10" defaultColWidth="8.83203125" defaultRowHeight="15" x14ac:dyDescent="0.2"/>
  <cols>
    <col min="1" max="1" width="12.5" bestFit="1" customWidth="1"/>
    <col min="2" max="2" width="27.33203125" customWidth="1"/>
    <col min="3" max="3" width="12.5" customWidth="1"/>
    <col min="4" max="4" width="10.5" bestFit="1" customWidth="1"/>
    <col min="5" max="5" width="9.33203125" bestFit="1" customWidth="1"/>
    <col min="6" max="6" width="11.33203125" customWidth="1"/>
    <col min="7" max="7" width="10.5" bestFit="1" customWidth="1"/>
    <col min="8" max="8" width="12" bestFit="1" customWidth="1"/>
    <col min="9" max="9" width="9.33203125" bestFit="1" customWidth="1"/>
    <col min="10" max="10" width="10.5" customWidth="1"/>
    <col min="11" max="11" width="13.33203125" customWidth="1"/>
    <col min="12" max="12" width="10.83203125" customWidth="1"/>
    <col min="13" max="13" width="23" bestFit="1" customWidth="1"/>
    <col min="14" max="14" width="43.6640625" bestFit="1" customWidth="1"/>
    <col min="15" max="15" width="19.5" customWidth="1"/>
    <col min="17" max="17" width="15.33203125" customWidth="1"/>
    <col min="19" max="19" width="8.83203125" bestFit="1" customWidth="1"/>
    <col min="20" max="20" width="13.5" customWidth="1"/>
    <col min="21" max="21" width="12" bestFit="1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2">
        <v>45812</v>
      </c>
      <c r="B2" s="1" t="s">
        <v>21</v>
      </c>
      <c r="C2" s="1" t="s">
        <v>22</v>
      </c>
      <c r="D2" s="1">
        <v>205</v>
      </c>
      <c r="E2" s="1">
        <v>174.34</v>
      </c>
      <c r="F2" s="1">
        <v>288</v>
      </c>
      <c r="G2" s="1">
        <v>204.75</v>
      </c>
      <c r="H2" s="1">
        <f>I2/(D2-E2)</f>
        <v>97.847358121330728</v>
      </c>
      <c r="I2" s="1">
        <v>3000</v>
      </c>
      <c r="J2" s="1">
        <f t="shared" ref="J2:J33" si="0">(F2-D2)/(D2-E2)</f>
        <v>2.7071102413568169</v>
      </c>
      <c r="K2" s="1" t="s">
        <v>43</v>
      </c>
      <c r="L2" s="1">
        <f t="shared" ref="L2:L37" si="1">(G2-D2)*H2</f>
        <v>-24.461839530332682</v>
      </c>
      <c r="M2" s="1" t="s">
        <v>23</v>
      </c>
      <c r="N2" s="1" t="s">
        <v>44</v>
      </c>
      <c r="O2" s="1"/>
      <c r="P2" s="1"/>
      <c r="Q2" s="1" t="s">
        <v>24</v>
      </c>
      <c r="R2" s="1" t="s">
        <v>25</v>
      </c>
      <c r="S2" s="1">
        <f t="shared" ref="S2:S33" si="2">L2</f>
        <v>-24.461839530332682</v>
      </c>
      <c r="T2" s="1" t="s">
        <v>45</v>
      </c>
      <c r="U2" s="1">
        <f t="shared" ref="U2:U33" si="3">H2*D2</f>
        <v>20058.708414872799</v>
      </c>
    </row>
    <row r="3" spans="1:21" x14ac:dyDescent="0.2">
      <c r="A3" s="2">
        <v>45812</v>
      </c>
      <c r="B3" s="1" t="s">
        <v>37</v>
      </c>
      <c r="C3" s="1" t="s">
        <v>22</v>
      </c>
      <c r="D3" s="1">
        <v>199</v>
      </c>
      <c r="E3" s="1">
        <v>180.5</v>
      </c>
      <c r="F3" s="1">
        <v>243</v>
      </c>
      <c r="G3" s="1">
        <v>197.5</v>
      </c>
      <c r="H3" s="1">
        <f>I3/(D3-E3)</f>
        <v>162.16216216216216</v>
      </c>
      <c r="I3" s="1">
        <v>3000</v>
      </c>
      <c r="J3" s="1">
        <f t="shared" si="0"/>
        <v>2.3783783783783785</v>
      </c>
      <c r="K3" s="1" t="s">
        <v>43</v>
      </c>
      <c r="L3" s="1">
        <f t="shared" si="1"/>
        <v>-243.24324324324323</v>
      </c>
      <c r="M3" s="1" t="s">
        <v>35</v>
      </c>
      <c r="N3" s="1"/>
      <c r="O3" s="1"/>
      <c r="P3" s="1"/>
      <c r="Q3" s="1" t="s">
        <v>24</v>
      </c>
      <c r="R3" s="1" t="s">
        <v>25</v>
      </c>
      <c r="S3" s="1">
        <f t="shared" si="2"/>
        <v>-243.24324324324323</v>
      </c>
      <c r="T3" s="1" t="s">
        <v>45</v>
      </c>
      <c r="U3" s="1">
        <f t="shared" si="3"/>
        <v>32270.27027027027</v>
      </c>
    </row>
    <row r="4" spans="1:21" x14ac:dyDescent="0.2">
      <c r="A4" s="2">
        <v>45812</v>
      </c>
      <c r="B4" s="1" t="s">
        <v>38</v>
      </c>
      <c r="C4" s="1" t="s">
        <v>22</v>
      </c>
      <c r="D4" s="1">
        <v>2700</v>
      </c>
      <c r="E4" s="1">
        <v>2415</v>
      </c>
      <c r="F4" s="1">
        <v>3151</v>
      </c>
      <c r="G4" s="1">
        <v>2582.8200000000002</v>
      </c>
      <c r="H4" s="1">
        <f>I4/(D4-E4)</f>
        <v>10.526315789473685</v>
      </c>
      <c r="I4" s="1">
        <v>3000</v>
      </c>
      <c r="J4" s="1">
        <f t="shared" si="0"/>
        <v>1.5824561403508772</v>
      </c>
      <c r="K4" s="1" t="s">
        <v>43</v>
      </c>
      <c r="L4" s="1">
        <f t="shared" si="1"/>
        <v>-1233.4736842105247</v>
      </c>
      <c r="M4" s="1" t="s">
        <v>35</v>
      </c>
      <c r="N4" s="1" t="s">
        <v>44</v>
      </c>
      <c r="O4" s="1"/>
      <c r="P4" s="1"/>
      <c r="Q4" s="1" t="s">
        <v>24</v>
      </c>
      <c r="R4" s="1" t="s">
        <v>25</v>
      </c>
      <c r="S4" s="1">
        <f t="shared" si="2"/>
        <v>-1233.4736842105247</v>
      </c>
      <c r="T4" s="1" t="s">
        <v>45</v>
      </c>
      <c r="U4" s="1">
        <f t="shared" si="3"/>
        <v>28421.05263157895</v>
      </c>
    </row>
    <row r="5" spans="1:21" x14ac:dyDescent="0.2">
      <c r="A5" s="2">
        <v>45812</v>
      </c>
      <c r="B5" s="1" t="s">
        <v>39</v>
      </c>
      <c r="C5" s="1" t="s">
        <v>22</v>
      </c>
      <c r="D5" s="1">
        <v>631</v>
      </c>
      <c r="E5" s="1">
        <v>579</v>
      </c>
      <c r="F5" s="1">
        <v>760</v>
      </c>
      <c r="G5" s="1">
        <v>669</v>
      </c>
      <c r="H5" s="1">
        <f>I5/(D5-E5)</f>
        <v>57.692307692307693</v>
      </c>
      <c r="I5" s="1">
        <v>3000</v>
      </c>
      <c r="J5" s="1">
        <f t="shared" si="0"/>
        <v>2.4807692307692308</v>
      </c>
      <c r="K5" s="1" t="s">
        <v>46</v>
      </c>
      <c r="L5" s="1">
        <f t="shared" si="1"/>
        <v>2192.3076923076924</v>
      </c>
      <c r="M5" s="1" t="s">
        <v>35</v>
      </c>
      <c r="N5" s="1"/>
      <c r="O5" s="1"/>
      <c r="P5" s="1"/>
      <c r="Q5" s="1" t="s">
        <v>24</v>
      </c>
      <c r="R5" s="1" t="s">
        <v>25</v>
      </c>
      <c r="S5" s="1">
        <f t="shared" si="2"/>
        <v>2192.3076923076924</v>
      </c>
      <c r="T5" s="1" t="s">
        <v>45</v>
      </c>
      <c r="U5" s="1">
        <f t="shared" si="3"/>
        <v>36403.846153846156</v>
      </c>
    </row>
    <row r="6" spans="1:21" x14ac:dyDescent="0.2">
      <c r="A6" s="2">
        <v>45812</v>
      </c>
      <c r="B6" s="1" t="s">
        <v>40</v>
      </c>
      <c r="C6" s="1" t="s">
        <v>22</v>
      </c>
      <c r="D6" s="1">
        <v>808</v>
      </c>
      <c r="E6" s="1">
        <v>765</v>
      </c>
      <c r="F6" s="1">
        <v>895</v>
      </c>
      <c r="G6" s="1">
        <v>765.05</v>
      </c>
      <c r="H6" s="1">
        <f>I6/(D6-E6)</f>
        <v>69.767441860465112</v>
      </c>
      <c r="I6" s="1">
        <v>3000</v>
      </c>
      <c r="J6" s="1">
        <f t="shared" si="0"/>
        <v>2.0232558139534884</v>
      </c>
      <c r="K6" s="1" t="s">
        <v>43</v>
      </c>
      <c r="L6" s="1">
        <f t="shared" si="1"/>
        <v>-2996.5116279069798</v>
      </c>
      <c r="M6" s="1" t="s">
        <v>41</v>
      </c>
      <c r="N6" s="1" t="s">
        <v>50</v>
      </c>
      <c r="O6" s="1"/>
      <c r="P6" s="1"/>
      <c r="Q6" s="1" t="s">
        <v>24</v>
      </c>
      <c r="R6" s="1" t="s">
        <v>25</v>
      </c>
      <c r="S6" s="1">
        <f t="shared" si="2"/>
        <v>-2996.5116279069798</v>
      </c>
      <c r="T6" s="1" t="s">
        <v>45</v>
      </c>
      <c r="U6" s="1">
        <f t="shared" si="3"/>
        <v>56372.093023255809</v>
      </c>
    </row>
    <row r="7" spans="1:21" x14ac:dyDescent="0.2">
      <c r="A7" s="2">
        <v>45812</v>
      </c>
      <c r="B7" s="1" t="s">
        <v>42</v>
      </c>
      <c r="C7" s="1" t="s">
        <v>22</v>
      </c>
      <c r="D7" s="1">
        <v>378</v>
      </c>
      <c r="E7" s="1">
        <v>346</v>
      </c>
      <c r="F7" s="1">
        <v>488</v>
      </c>
      <c r="G7" s="1">
        <v>365.19</v>
      </c>
      <c r="H7" s="1">
        <v>53</v>
      </c>
      <c r="I7" s="1">
        <v>1700</v>
      </c>
      <c r="J7" s="1">
        <f t="shared" si="0"/>
        <v>3.4375</v>
      </c>
      <c r="K7" s="1" t="s">
        <v>43</v>
      </c>
      <c r="L7" s="1">
        <f t="shared" si="1"/>
        <v>-678.93000000000006</v>
      </c>
      <c r="M7" s="1" t="s">
        <v>30</v>
      </c>
      <c r="N7" s="1" t="s">
        <v>44</v>
      </c>
      <c r="O7" s="1"/>
      <c r="P7" s="1"/>
      <c r="Q7" s="1" t="s">
        <v>24</v>
      </c>
      <c r="R7" s="1" t="s">
        <v>25</v>
      </c>
      <c r="S7" s="1">
        <f t="shared" si="2"/>
        <v>-678.93000000000006</v>
      </c>
      <c r="T7" s="1" t="s">
        <v>45</v>
      </c>
      <c r="U7" s="1">
        <f t="shared" si="3"/>
        <v>20034</v>
      </c>
    </row>
    <row r="8" spans="1:21" x14ac:dyDescent="0.2">
      <c r="A8" s="2">
        <v>45812</v>
      </c>
      <c r="B8" s="1" t="s">
        <v>47</v>
      </c>
      <c r="C8" s="1" t="s">
        <v>22</v>
      </c>
      <c r="D8" s="1">
        <v>1278</v>
      </c>
      <c r="E8" s="1">
        <v>1212</v>
      </c>
      <c r="F8" s="1">
        <v>1597</v>
      </c>
      <c r="G8" s="1">
        <v>1211.1500000000001</v>
      </c>
      <c r="H8" s="1">
        <v>24</v>
      </c>
      <c r="I8" s="1">
        <v>1600</v>
      </c>
      <c r="J8" s="1">
        <f t="shared" si="0"/>
        <v>4.833333333333333</v>
      </c>
      <c r="K8" s="1" t="s">
        <v>43</v>
      </c>
      <c r="L8" s="1">
        <f t="shared" si="1"/>
        <v>-1604.3999999999978</v>
      </c>
      <c r="M8" s="1" t="s">
        <v>48</v>
      </c>
      <c r="N8" s="1" t="s">
        <v>50</v>
      </c>
      <c r="O8" s="1" t="s">
        <v>63</v>
      </c>
      <c r="P8" s="1"/>
      <c r="Q8" s="1" t="s">
        <v>24</v>
      </c>
      <c r="R8" s="1" t="s">
        <v>25</v>
      </c>
      <c r="S8" s="1">
        <f t="shared" si="2"/>
        <v>-1604.3999999999978</v>
      </c>
      <c r="T8" s="1" t="s">
        <v>45</v>
      </c>
      <c r="U8" s="1">
        <f t="shared" si="3"/>
        <v>30672</v>
      </c>
    </row>
    <row r="9" spans="1:21" x14ac:dyDescent="0.2">
      <c r="A9" s="2">
        <v>45814</v>
      </c>
      <c r="B9" s="1" t="s">
        <v>51</v>
      </c>
      <c r="C9" s="1" t="s">
        <v>22</v>
      </c>
      <c r="D9" s="1">
        <v>645</v>
      </c>
      <c r="E9" s="1">
        <v>579.79999999999995</v>
      </c>
      <c r="F9" s="1">
        <v>790</v>
      </c>
      <c r="G9" s="1">
        <v>812.61</v>
      </c>
      <c r="H9" s="1">
        <f>I9/(D9-E9)</f>
        <v>46.012269938650277</v>
      </c>
      <c r="I9" s="1">
        <v>3000</v>
      </c>
      <c r="J9" s="1">
        <f t="shared" si="0"/>
        <v>2.2239263803680966</v>
      </c>
      <c r="K9" s="1" t="s">
        <v>46</v>
      </c>
      <c r="L9" s="1">
        <f t="shared" si="1"/>
        <v>7712.1165644171733</v>
      </c>
      <c r="M9" s="1" t="s">
        <v>52</v>
      </c>
      <c r="N9" s="1" t="s">
        <v>44</v>
      </c>
      <c r="O9" s="1"/>
      <c r="P9" s="1"/>
      <c r="Q9" s="1" t="s">
        <v>24</v>
      </c>
      <c r="R9" s="1" t="s">
        <v>25</v>
      </c>
      <c r="S9" s="1">
        <f t="shared" si="2"/>
        <v>7712.1165644171733</v>
      </c>
      <c r="T9" s="1" t="s">
        <v>45</v>
      </c>
      <c r="U9" s="1">
        <f t="shared" si="3"/>
        <v>29677.914110429429</v>
      </c>
    </row>
    <row r="10" spans="1:21" x14ac:dyDescent="0.2">
      <c r="A10" s="2">
        <v>45820</v>
      </c>
      <c r="B10" s="1" t="s">
        <v>26</v>
      </c>
      <c r="C10" s="1" t="s">
        <v>22</v>
      </c>
      <c r="D10" s="1">
        <v>1316</v>
      </c>
      <c r="E10" s="1">
        <v>1263</v>
      </c>
      <c r="F10" s="1">
        <v>1485</v>
      </c>
      <c r="G10" s="1">
        <v>1312.5</v>
      </c>
      <c r="H10" s="1">
        <v>56</v>
      </c>
      <c r="I10" s="1">
        <v>3000</v>
      </c>
      <c r="J10" s="1">
        <f t="shared" si="0"/>
        <v>3.1886792452830188</v>
      </c>
      <c r="K10" s="1" t="s">
        <v>43</v>
      </c>
      <c r="L10" s="1">
        <f t="shared" si="1"/>
        <v>-196</v>
      </c>
      <c r="M10" s="1" t="s">
        <v>27</v>
      </c>
      <c r="N10" s="1" t="s">
        <v>44</v>
      </c>
      <c r="O10" s="1" t="s">
        <v>64</v>
      </c>
      <c r="P10" s="1"/>
      <c r="Q10" s="1" t="s">
        <v>24</v>
      </c>
      <c r="R10" s="1" t="s">
        <v>25</v>
      </c>
      <c r="S10" s="1">
        <f t="shared" si="2"/>
        <v>-196</v>
      </c>
      <c r="T10" s="1" t="s">
        <v>45</v>
      </c>
      <c r="U10" s="1">
        <f t="shared" si="3"/>
        <v>73696</v>
      </c>
    </row>
    <row r="11" spans="1:21" x14ac:dyDescent="0.2">
      <c r="A11" s="2">
        <v>45820</v>
      </c>
      <c r="B11" s="1" t="s">
        <v>36</v>
      </c>
      <c r="C11" s="1" t="s">
        <v>22</v>
      </c>
      <c r="D11" s="1">
        <v>1600</v>
      </c>
      <c r="E11" s="1">
        <v>1505</v>
      </c>
      <c r="F11" s="1">
        <v>1835</v>
      </c>
      <c r="G11" s="1">
        <v>1832.8</v>
      </c>
      <c r="H11" s="1">
        <v>31</v>
      </c>
      <c r="I11" s="1">
        <v>3000</v>
      </c>
      <c r="J11" s="1">
        <f t="shared" si="0"/>
        <v>2.4736842105263159</v>
      </c>
      <c r="K11" s="1" t="s">
        <v>46</v>
      </c>
      <c r="L11" s="1">
        <f t="shared" si="1"/>
        <v>7216.7999999999984</v>
      </c>
      <c r="M11" s="1" t="s">
        <v>35</v>
      </c>
      <c r="N11" s="1" t="s">
        <v>49</v>
      </c>
      <c r="O11" s="1"/>
      <c r="P11" s="1" t="s">
        <v>65</v>
      </c>
      <c r="Q11" s="1" t="s">
        <v>24</v>
      </c>
      <c r="R11" s="1" t="s">
        <v>25</v>
      </c>
      <c r="S11" s="1">
        <f t="shared" si="2"/>
        <v>7216.7999999999984</v>
      </c>
      <c r="T11" s="1" t="s">
        <v>45</v>
      </c>
      <c r="U11" s="1">
        <f t="shared" si="3"/>
        <v>49600</v>
      </c>
    </row>
    <row r="12" spans="1:21" x14ac:dyDescent="0.2">
      <c r="A12" s="2">
        <v>45826</v>
      </c>
      <c r="B12" s="1" t="s">
        <v>28</v>
      </c>
      <c r="C12" s="1" t="s">
        <v>22</v>
      </c>
      <c r="D12" s="1">
        <v>237</v>
      </c>
      <c r="E12" s="1">
        <v>219.35</v>
      </c>
      <c r="F12" s="1">
        <v>270</v>
      </c>
      <c r="G12" s="1">
        <v>267.62</v>
      </c>
      <c r="H12" s="1">
        <f>I12/(D12-E12)</f>
        <v>169.97167138810192</v>
      </c>
      <c r="I12" s="1">
        <v>3000</v>
      </c>
      <c r="J12" s="1">
        <f t="shared" si="0"/>
        <v>1.8696883852691213</v>
      </c>
      <c r="K12" s="1" t="s">
        <v>46</v>
      </c>
      <c r="L12" s="1">
        <f t="shared" si="1"/>
        <v>5204.5325779036821</v>
      </c>
      <c r="M12" s="1" t="s">
        <v>29</v>
      </c>
      <c r="N12" s="1" t="s">
        <v>44</v>
      </c>
      <c r="O12" s="1"/>
      <c r="P12" s="1"/>
      <c r="Q12" s="1" t="s">
        <v>24</v>
      </c>
      <c r="R12" s="1" t="s">
        <v>25</v>
      </c>
      <c r="S12" s="1">
        <f t="shared" si="2"/>
        <v>5204.5325779036821</v>
      </c>
      <c r="T12" s="1" t="s">
        <v>45</v>
      </c>
      <c r="U12" s="1">
        <f t="shared" si="3"/>
        <v>40283.286118980155</v>
      </c>
    </row>
    <row r="13" spans="1:21" x14ac:dyDescent="0.2">
      <c r="A13" s="2">
        <v>45826</v>
      </c>
      <c r="B13" s="1" t="s">
        <v>32</v>
      </c>
      <c r="C13" s="1" t="s">
        <v>22</v>
      </c>
      <c r="D13" s="1">
        <v>367</v>
      </c>
      <c r="E13" s="1">
        <v>350</v>
      </c>
      <c r="F13" s="1">
        <v>424</v>
      </c>
      <c r="G13" s="1">
        <v>348.95</v>
      </c>
      <c r="H13" s="1">
        <v>176</v>
      </c>
      <c r="I13" s="1">
        <v>3000</v>
      </c>
      <c r="J13" s="1">
        <f t="shared" si="0"/>
        <v>3.3529411764705883</v>
      </c>
      <c r="K13" s="1" t="s">
        <v>43</v>
      </c>
      <c r="L13" s="1">
        <f t="shared" si="1"/>
        <v>-3176.800000000002</v>
      </c>
      <c r="M13" s="1" t="s">
        <v>33</v>
      </c>
      <c r="N13" s="1" t="s">
        <v>50</v>
      </c>
      <c r="O13" s="1"/>
      <c r="P13" s="1"/>
      <c r="Q13" s="1" t="s">
        <v>24</v>
      </c>
      <c r="R13" s="1" t="s">
        <v>25</v>
      </c>
      <c r="S13" s="1">
        <f t="shared" si="2"/>
        <v>-3176.800000000002</v>
      </c>
      <c r="T13" s="1" t="s">
        <v>45</v>
      </c>
      <c r="U13" s="1">
        <f t="shared" si="3"/>
        <v>64592</v>
      </c>
    </row>
    <row r="14" spans="1:21" x14ac:dyDescent="0.2">
      <c r="A14" s="2">
        <v>45827</v>
      </c>
      <c r="B14" s="1" t="s">
        <v>31</v>
      </c>
      <c r="C14" s="1" t="s">
        <v>22</v>
      </c>
      <c r="D14" s="1">
        <v>943</v>
      </c>
      <c r="E14" s="1">
        <v>887</v>
      </c>
      <c r="F14" s="1">
        <v>1113</v>
      </c>
      <c r="G14" s="1">
        <v>966.67</v>
      </c>
      <c r="H14" s="1">
        <f>I14/(D14-E14)</f>
        <v>53.571428571428569</v>
      </c>
      <c r="I14" s="1">
        <v>3000</v>
      </c>
      <c r="J14" s="1">
        <f t="shared" si="0"/>
        <v>3.0357142857142856</v>
      </c>
      <c r="K14" s="1" t="s">
        <v>46</v>
      </c>
      <c r="L14" s="1">
        <f t="shared" si="1"/>
        <v>1268.0357142857119</v>
      </c>
      <c r="M14" s="1" t="s">
        <v>30</v>
      </c>
      <c r="N14" s="1" t="s">
        <v>44</v>
      </c>
      <c r="O14" s="1"/>
      <c r="P14" s="1"/>
      <c r="Q14" s="1" t="s">
        <v>24</v>
      </c>
      <c r="R14" s="1" t="s">
        <v>25</v>
      </c>
      <c r="S14" s="1">
        <f t="shared" si="2"/>
        <v>1268.0357142857119</v>
      </c>
      <c r="T14" s="1" t="s">
        <v>45</v>
      </c>
      <c r="U14" s="1">
        <f t="shared" si="3"/>
        <v>50517.857142857138</v>
      </c>
    </row>
    <row r="15" spans="1:21" x14ac:dyDescent="0.2">
      <c r="A15" s="2">
        <v>45827</v>
      </c>
      <c r="B15" s="1" t="s">
        <v>34</v>
      </c>
      <c r="C15" s="1" t="s">
        <v>22</v>
      </c>
      <c r="D15" s="1">
        <v>1866</v>
      </c>
      <c r="E15" s="1">
        <v>1762</v>
      </c>
      <c r="F15" s="1">
        <v>2225</v>
      </c>
      <c r="G15" s="1">
        <v>1763.1</v>
      </c>
      <c r="H15" s="1">
        <f>I15/(D15-E15)</f>
        <v>28.846153846153847</v>
      </c>
      <c r="I15" s="1">
        <v>3000</v>
      </c>
      <c r="J15" s="1">
        <f t="shared" si="0"/>
        <v>3.4519230769230771</v>
      </c>
      <c r="K15" s="1" t="s">
        <v>43</v>
      </c>
      <c r="L15" s="1">
        <f t="shared" si="1"/>
        <v>-2968.2692307692337</v>
      </c>
      <c r="M15" s="1" t="s">
        <v>35</v>
      </c>
      <c r="N15" s="1" t="s">
        <v>50</v>
      </c>
      <c r="O15" s="1"/>
      <c r="P15" s="1"/>
      <c r="Q15" s="1" t="s">
        <v>24</v>
      </c>
      <c r="R15" s="1" t="s">
        <v>25</v>
      </c>
      <c r="S15" s="1">
        <f t="shared" si="2"/>
        <v>-2968.2692307692337</v>
      </c>
      <c r="T15" s="1" t="s">
        <v>45</v>
      </c>
      <c r="U15" s="1">
        <f t="shared" si="3"/>
        <v>53826.923076923078</v>
      </c>
    </row>
    <row r="16" spans="1:21" x14ac:dyDescent="0.2">
      <c r="A16" s="2">
        <v>45834</v>
      </c>
      <c r="B16" s="3" t="s">
        <v>55</v>
      </c>
      <c r="C16" s="3" t="s">
        <v>22</v>
      </c>
      <c r="D16" s="3">
        <v>794</v>
      </c>
      <c r="E16" s="3">
        <v>707</v>
      </c>
      <c r="F16" s="3">
        <v>942</v>
      </c>
      <c r="G16" s="3">
        <v>796.8</v>
      </c>
      <c r="H16" s="3">
        <v>47</v>
      </c>
      <c r="I16" s="3">
        <f>(D16-E16)*H16</f>
        <v>4089</v>
      </c>
      <c r="J16" s="3">
        <f t="shared" si="0"/>
        <v>1.7011494252873562</v>
      </c>
      <c r="K16" s="1" t="s">
        <v>46</v>
      </c>
      <c r="L16" s="1">
        <f t="shared" si="1"/>
        <v>131.59999999999786</v>
      </c>
      <c r="M16" s="3" t="s">
        <v>56</v>
      </c>
      <c r="N16" s="1" t="s">
        <v>44</v>
      </c>
      <c r="O16" s="3"/>
      <c r="P16" s="3"/>
      <c r="Q16" s="3" t="s">
        <v>24</v>
      </c>
      <c r="R16" s="3" t="s">
        <v>25</v>
      </c>
      <c r="S16" s="3">
        <f t="shared" si="2"/>
        <v>131.59999999999786</v>
      </c>
      <c r="T16" s="1" t="s">
        <v>45</v>
      </c>
      <c r="U16" s="3">
        <f t="shared" si="3"/>
        <v>37318</v>
      </c>
    </row>
    <row r="17" spans="1:21" x14ac:dyDescent="0.2">
      <c r="A17" s="2">
        <v>45834</v>
      </c>
      <c r="B17" s="3" t="s">
        <v>57</v>
      </c>
      <c r="C17" s="3" t="s">
        <v>22</v>
      </c>
      <c r="D17" s="3">
        <v>587</v>
      </c>
      <c r="E17" s="3">
        <v>515</v>
      </c>
      <c r="F17" s="3">
        <v>748</v>
      </c>
      <c r="G17" s="3">
        <v>606</v>
      </c>
      <c r="H17" s="3">
        <v>54</v>
      </c>
      <c r="I17" s="3">
        <f>(D17-E17)*H17</f>
        <v>3888</v>
      </c>
      <c r="J17" s="3">
        <f t="shared" si="0"/>
        <v>2.2361111111111112</v>
      </c>
      <c r="K17" s="1" t="s">
        <v>46</v>
      </c>
      <c r="L17" s="1">
        <f t="shared" si="1"/>
        <v>1026</v>
      </c>
      <c r="M17" s="3" t="s">
        <v>35</v>
      </c>
      <c r="N17" s="1" t="s">
        <v>44</v>
      </c>
      <c r="O17" s="3"/>
      <c r="P17" s="3"/>
      <c r="Q17" s="1" t="s">
        <v>24</v>
      </c>
      <c r="R17" s="1" t="s">
        <v>25</v>
      </c>
      <c r="S17" s="3">
        <f t="shared" si="2"/>
        <v>1026</v>
      </c>
      <c r="T17" s="1" t="s">
        <v>45</v>
      </c>
      <c r="U17" s="3">
        <f t="shared" si="3"/>
        <v>31698</v>
      </c>
    </row>
    <row r="18" spans="1:21" x14ac:dyDescent="0.2">
      <c r="A18" s="2">
        <v>45834</v>
      </c>
      <c r="B18" s="1" t="s">
        <v>58</v>
      </c>
      <c r="C18" s="1" t="s">
        <v>22</v>
      </c>
      <c r="D18" s="1">
        <v>1514.5</v>
      </c>
      <c r="E18" s="1">
        <v>1413</v>
      </c>
      <c r="F18" s="1">
        <v>1863</v>
      </c>
      <c r="G18" s="1">
        <v>1410.94</v>
      </c>
      <c r="H18" s="1">
        <v>30</v>
      </c>
      <c r="I18" s="1">
        <f>(D18-E18)*H18</f>
        <v>3045</v>
      </c>
      <c r="J18" s="1">
        <f t="shared" si="0"/>
        <v>3.4334975369458127</v>
      </c>
      <c r="K18" s="1" t="s">
        <v>43</v>
      </c>
      <c r="L18" s="1">
        <f t="shared" si="1"/>
        <v>-3106.7999999999984</v>
      </c>
      <c r="M18" s="1" t="s">
        <v>35</v>
      </c>
      <c r="N18" s="1" t="s">
        <v>50</v>
      </c>
      <c r="O18" s="1"/>
      <c r="P18" s="1"/>
      <c r="Q18" s="1" t="s">
        <v>24</v>
      </c>
      <c r="R18" s="1" t="s">
        <v>25</v>
      </c>
      <c r="S18" s="1">
        <f t="shared" si="2"/>
        <v>-3106.7999999999984</v>
      </c>
      <c r="T18" s="1" t="s">
        <v>45</v>
      </c>
      <c r="U18" s="1">
        <f t="shared" si="3"/>
        <v>45435</v>
      </c>
    </row>
    <row r="19" spans="1:21" x14ac:dyDescent="0.2">
      <c r="A19" s="2">
        <v>45834</v>
      </c>
      <c r="B19" s="1" t="s">
        <v>60</v>
      </c>
      <c r="C19" s="1" t="s">
        <v>22</v>
      </c>
      <c r="D19" s="1">
        <v>3207</v>
      </c>
      <c r="E19" s="1">
        <v>3110</v>
      </c>
      <c r="F19" s="1">
        <v>3575</v>
      </c>
      <c r="G19" s="1">
        <v>3110.08</v>
      </c>
      <c r="H19" s="1">
        <v>32</v>
      </c>
      <c r="I19" s="1">
        <f>(D19-E19)*H19</f>
        <v>3104</v>
      </c>
      <c r="J19" s="1">
        <f t="shared" si="0"/>
        <v>3.7938144329896906</v>
      </c>
      <c r="K19" s="1" t="s">
        <v>43</v>
      </c>
      <c r="L19" s="1">
        <f t="shared" si="1"/>
        <v>-3101.4400000000023</v>
      </c>
      <c r="M19" s="1" t="s">
        <v>56</v>
      </c>
      <c r="N19" s="1" t="s">
        <v>50</v>
      </c>
      <c r="O19" s="1"/>
      <c r="P19" s="1"/>
      <c r="Q19" s="1" t="s">
        <v>24</v>
      </c>
      <c r="R19" s="1" t="s">
        <v>25</v>
      </c>
      <c r="S19" s="1">
        <f t="shared" si="2"/>
        <v>-3101.4400000000023</v>
      </c>
      <c r="T19" s="1" t="s">
        <v>45</v>
      </c>
      <c r="U19" s="1">
        <f t="shared" si="3"/>
        <v>102624</v>
      </c>
    </row>
    <row r="20" spans="1:21" s="5" customFormat="1" x14ac:dyDescent="0.2">
      <c r="A20" s="4">
        <v>45834</v>
      </c>
      <c r="B20" s="3" t="s">
        <v>61</v>
      </c>
      <c r="C20" s="3" t="s">
        <v>22</v>
      </c>
      <c r="D20" s="3">
        <v>106.9</v>
      </c>
      <c r="E20" s="3">
        <v>99.8</v>
      </c>
      <c r="F20" s="3">
        <v>150</v>
      </c>
      <c r="G20" s="3">
        <v>107.8</v>
      </c>
      <c r="H20" s="3">
        <v>429</v>
      </c>
      <c r="I20" s="3">
        <f>(D20-E20)*H20</f>
        <v>3045.9000000000037</v>
      </c>
      <c r="J20" s="3">
        <f t="shared" si="0"/>
        <v>6.0704225352112591</v>
      </c>
      <c r="K20" s="1" t="s">
        <v>46</v>
      </c>
      <c r="L20" s="3">
        <f t="shared" si="1"/>
        <v>386.09999999999633</v>
      </c>
      <c r="M20" s="3" t="s">
        <v>62</v>
      </c>
      <c r="N20" s="3" t="s">
        <v>96</v>
      </c>
      <c r="O20" s="3"/>
      <c r="P20" s="3"/>
      <c r="Q20" s="3" t="s">
        <v>24</v>
      </c>
      <c r="R20" s="3" t="s">
        <v>25</v>
      </c>
      <c r="S20" s="3">
        <f t="shared" si="2"/>
        <v>386.09999999999633</v>
      </c>
      <c r="T20" s="1" t="s">
        <v>45</v>
      </c>
      <c r="U20" s="3">
        <f t="shared" si="3"/>
        <v>45860.100000000006</v>
      </c>
    </row>
    <row r="21" spans="1:21" x14ac:dyDescent="0.2">
      <c r="A21" s="2">
        <v>45841</v>
      </c>
      <c r="B21" s="1" t="s">
        <v>53</v>
      </c>
      <c r="C21" s="1" t="s">
        <v>22</v>
      </c>
      <c r="D21" s="1">
        <v>2038.32</v>
      </c>
      <c r="E21" s="1">
        <v>1925</v>
      </c>
      <c r="F21" s="1">
        <v>2495</v>
      </c>
      <c r="G21" s="1">
        <v>2103.1799999999998</v>
      </c>
      <c r="H21" s="1">
        <v>23</v>
      </c>
      <c r="I21" s="1">
        <v>3000</v>
      </c>
      <c r="J21" s="1">
        <f t="shared" si="0"/>
        <v>4.0300035298270416</v>
      </c>
      <c r="K21" s="1" t="s">
        <v>46</v>
      </c>
      <c r="L21" s="1">
        <f t="shared" si="1"/>
        <v>1491.7799999999977</v>
      </c>
      <c r="M21" s="1" t="s">
        <v>54</v>
      </c>
      <c r="N21" s="1" t="s">
        <v>44</v>
      </c>
      <c r="O21" s="1"/>
      <c r="P21" s="1"/>
      <c r="Q21" s="1" t="s">
        <v>24</v>
      </c>
      <c r="R21" s="1" t="s">
        <v>25</v>
      </c>
      <c r="S21" s="1">
        <f t="shared" si="2"/>
        <v>1491.7799999999977</v>
      </c>
      <c r="T21" s="1" t="s">
        <v>45</v>
      </c>
      <c r="U21" s="1">
        <f t="shared" si="3"/>
        <v>46881.36</v>
      </c>
    </row>
    <row r="22" spans="1:21" x14ac:dyDescent="0.2">
      <c r="A22" s="2">
        <v>45845</v>
      </c>
      <c r="B22" s="1" t="s">
        <v>59</v>
      </c>
      <c r="C22" s="1" t="s">
        <v>22</v>
      </c>
      <c r="D22" s="1">
        <v>2648</v>
      </c>
      <c r="E22" s="1">
        <v>2370</v>
      </c>
      <c r="F22" s="1">
        <v>3200</v>
      </c>
      <c r="G22" s="1">
        <v>2667.3</v>
      </c>
      <c r="H22" s="1">
        <v>11</v>
      </c>
      <c r="I22" s="1">
        <f t="shared" ref="I22:I37" si="4">(D22-E22)*H22</f>
        <v>3058</v>
      </c>
      <c r="J22" s="1">
        <f t="shared" si="0"/>
        <v>1.985611510791367</v>
      </c>
      <c r="K22" s="1" t="s">
        <v>46</v>
      </c>
      <c r="L22" s="1">
        <f t="shared" si="1"/>
        <v>212.300000000002</v>
      </c>
      <c r="M22" s="1" t="s">
        <v>35</v>
      </c>
      <c r="N22" s="1" t="s">
        <v>44</v>
      </c>
      <c r="O22" s="1"/>
      <c r="P22" s="1"/>
      <c r="Q22" s="1" t="s">
        <v>24</v>
      </c>
      <c r="R22" s="1" t="s">
        <v>25</v>
      </c>
      <c r="S22" s="1">
        <f t="shared" si="2"/>
        <v>212.300000000002</v>
      </c>
      <c r="T22" s="1" t="s">
        <v>45</v>
      </c>
      <c r="U22" s="1">
        <f t="shared" si="3"/>
        <v>29128</v>
      </c>
    </row>
    <row r="23" spans="1:21" x14ac:dyDescent="0.2">
      <c r="A23" s="2">
        <v>45845</v>
      </c>
      <c r="B23" s="1" t="s">
        <v>61</v>
      </c>
      <c r="C23" s="1" t="s">
        <v>22</v>
      </c>
      <c r="D23" s="1">
        <v>106.9</v>
      </c>
      <c r="E23" s="1">
        <v>99.8</v>
      </c>
      <c r="F23" s="1">
        <v>150</v>
      </c>
      <c r="G23" s="1">
        <v>113.5</v>
      </c>
      <c r="H23" s="1">
        <v>429</v>
      </c>
      <c r="I23" s="1">
        <f t="shared" si="4"/>
        <v>3045.9000000000037</v>
      </c>
      <c r="J23" s="1">
        <f t="shared" si="0"/>
        <v>6.0704225352112591</v>
      </c>
      <c r="K23" s="1" t="s">
        <v>46</v>
      </c>
      <c r="L23" s="1">
        <f t="shared" si="1"/>
        <v>2831.3999999999974</v>
      </c>
      <c r="M23" s="1" t="s">
        <v>62</v>
      </c>
      <c r="N23" s="1" t="s">
        <v>49</v>
      </c>
      <c r="O23" s="1"/>
      <c r="P23" s="1"/>
      <c r="Q23" s="1" t="s">
        <v>24</v>
      </c>
      <c r="R23" s="1" t="s">
        <v>25</v>
      </c>
      <c r="S23" s="1">
        <f t="shared" si="2"/>
        <v>2831.3999999999974</v>
      </c>
      <c r="T23" s="1" t="s">
        <v>45</v>
      </c>
      <c r="U23" s="1">
        <f t="shared" si="3"/>
        <v>45860.100000000006</v>
      </c>
    </row>
    <row r="24" spans="1:21" x14ac:dyDescent="0.2">
      <c r="A24" s="2">
        <v>45847</v>
      </c>
      <c r="B24" s="1" t="s">
        <v>53</v>
      </c>
      <c r="C24" s="1" t="s">
        <v>22</v>
      </c>
      <c r="D24" s="1">
        <v>2088.9</v>
      </c>
      <c r="E24" s="1">
        <v>1925</v>
      </c>
      <c r="F24" s="1">
        <v>2500</v>
      </c>
      <c r="G24" s="1">
        <v>1907.8</v>
      </c>
      <c r="H24" s="1">
        <v>26</v>
      </c>
      <c r="I24" s="3">
        <f t="shared" si="4"/>
        <v>4261.4000000000024</v>
      </c>
      <c r="J24" s="1">
        <f t="shared" si="0"/>
        <v>2.508236729713238</v>
      </c>
      <c r="K24" s="1" t="s">
        <v>43</v>
      </c>
      <c r="L24" s="1">
        <f t="shared" si="1"/>
        <v>-4708.600000000004</v>
      </c>
      <c r="M24" s="1" t="s">
        <v>54</v>
      </c>
      <c r="N24" s="1" t="s">
        <v>50</v>
      </c>
      <c r="O24" s="1"/>
      <c r="P24" s="1"/>
      <c r="Q24" s="1" t="s">
        <v>24</v>
      </c>
      <c r="R24" s="1" t="s">
        <v>25</v>
      </c>
      <c r="S24" s="1">
        <f t="shared" si="2"/>
        <v>-4708.600000000004</v>
      </c>
      <c r="T24" s="1" t="s">
        <v>45</v>
      </c>
      <c r="U24" s="1">
        <f t="shared" si="3"/>
        <v>54311.4</v>
      </c>
    </row>
    <row r="25" spans="1:21" s="5" customFormat="1" x14ac:dyDescent="0.2">
      <c r="A25" s="4">
        <v>45847</v>
      </c>
      <c r="B25" s="3" t="s">
        <v>59</v>
      </c>
      <c r="C25" s="3" t="s">
        <v>22</v>
      </c>
      <c r="D25" s="3">
        <v>2663.3</v>
      </c>
      <c r="E25" s="3">
        <v>2377.8000000000002</v>
      </c>
      <c r="F25" s="3">
        <v>3500</v>
      </c>
      <c r="G25" s="3">
        <v>2893</v>
      </c>
      <c r="H25" s="3">
        <v>11</v>
      </c>
      <c r="I25" s="3">
        <f t="shared" si="4"/>
        <v>3140.5</v>
      </c>
      <c r="J25" s="3">
        <f t="shared" si="0"/>
        <v>2.9306479859894914</v>
      </c>
      <c r="K25" s="1" t="s">
        <v>46</v>
      </c>
      <c r="L25" s="3">
        <f t="shared" si="1"/>
        <v>2526.699999999998</v>
      </c>
      <c r="M25" s="3" t="s">
        <v>68</v>
      </c>
      <c r="N25" s="3" t="s">
        <v>96</v>
      </c>
      <c r="O25" s="3"/>
      <c r="P25" s="3"/>
      <c r="Q25" s="3" t="s">
        <v>24</v>
      </c>
      <c r="R25" s="3" t="s">
        <v>25</v>
      </c>
      <c r="S25" s="3">
        <f t="shared" si="2"/>
        <v>2526.699999999998</v>
      </c>
      <c r="T25" s="1" t="s">
        <v>45</v>
      </c>
      <c r="U25" s="3">
        <f t="shared" si="3"/>
        <v>29296.300000000003</v>
      </c>
    </row>
    <row r="26" spans="1:21" x14ac:dyDescent="0.2">
      <c r="A26" s="2">
        <v>45847</v>
      </c>
      <c r="B26" s="1" t="s">
        <v>66</v>
      </c>
      <c r="C26" s="1" t="s">
        <v>22</v>
      </c>
      <c r="D26" s="1">
        <v>1655</v>
      </c>
      <c r="E26" s="1">
        <v>1558</v>
      </c>
      <c r="F26" s="1">
        <v>1990</v>
      </c>
      <c r="G26" s="1">
        <v>1857.1</v>
      </c>
      <c r="H26" s="1">
        <v>30</v>
      </c>
      <c r="I26" s="1">
        <f t="shared" si="4"/>
        <v>2910</v>
      </c>
      <c r="J26" s="1">
        <f t="shared" si="0"/>
        <v>3.4536082474226806</v>
      </c>
      <c r="K26" s="1" t="s">
        <v>46</v>
      </c>
      <c r="L26" s="1">
        <f t="shared" si="1"/>
        <v>6062.9999999999973</v>
      </c>
      <c r="M26" s="1" t="s">
        <v>73</v>
      </c>
      <c r="N26" s="1" t="s">
        <v>44</v>
      </c>
      <c r="O26" s="1"/>
      <c r="P26" s="1" t="s">
        <v>75</v>
      </c>
      <c r="Q26" s="1" t="s">
        <v>24</v>
      </c>
      <c r="R26" s="1" t="s">
        <v>25</v>
      </c>
      <c r="S26" s="1">
        <f t="shared" si="2"/>
        <v>6062.9999999999973</v>
      </c>
      <c r="T26" s="1" t="s">
        <v>45</v>
      </c>
      <c r="U26" s="1">
        <f t="shared" si="3"/>
        <v>49650</v>
      </c>
    </row>
    <row r="27" spans="1:21" x14ac:dyDescent="0.2">
      <c r="A27" s="2">
        <v>45853</v>
      </c>
      <c r="B27" s="1" t="s">
        <v>69</v>
      </c>
      <c r="C27" s="1" t="s">
        <v>22</v>
      </c>
      <c r="D27" s="1">
        <v>725</v>
      </c>
      <c r="E27" s="1">
        <v>634</v>
      </c>
      <c r="F27" s="1">
        <v>1093</v>
      </c>
      <c r="G27" s="1">
        <v>655.1</v>
      </c>
      <c r="H27" s="1">
        <v>34</v>
      </c>
      <c r="I27" s="1">
        <f t="shared" si="4"/>
        <v>3094</v>
      </c>
      <c r="J27" s="1">
        <f t="shared" si="0"/>
        <v>4.0439560439560438</v>
      </c>
      <c r="K27" s="1" t="s">
        <v>43</v>
      </c>
      <c r="L27" s="1">
        <f t="shared" si="1"/>
        <v>-2376.5999999999995</v>
      </c>
      <c r="M27" s="1" t="s">
        <v>72</v>
      </c>
      <c r="N27" s="1"/>
      <c r="O27" s="1"/>
      <c r="P27" s="1" t="s">
        <v>76</v>
      </c>
      <c r="Q27" s="1" t="s">
        <v>24</v>
      </c>
      <c r="R27" s="1" t="s">
        <v>25</v>
      </c>
      <c r="S27" s="1">
        <f t="shared" si="2"/>
        <v>-2376.5999999999995</v>
      </c>
      <c r="T27" s="1" t="s">
        <v>45</v>
      </c>
      <c r="U27" s="1">
        <f t="shared" si="3"/>
        <v>24650</v>
      </c>
    </row>
    <row r="28" spans="1:21" x14ac:dyDescent="0.2">
      <c r="A28" s="2">
        <v>45853</v>
      </c>
      <c r="B28" s="1" t="s">
        <v>70</v>
      </c>
      <c r="C28" s="1" t="s">
        <v>22</v>
      </c>
      <c r="D28" s="1">
        <v>1717</v>
      </c>
      <c r="E28" s="1">
        <v>1618</v>
      </c>
      <c r="F28" s="1">
        <v>2075</v>
      </c>
      <c r="G28" s="1">
        <v>1615.22</v>
      </c>
      <c r="H28" s="1">
        <v>30</v>
      </c>
      <c r="I28" s="1">
        <f t="shared" si="4"/>
        <v>2970</v>
      </c>
      <c r="J28" s="1">
        <f t="shared" si="0"/>
        <v>3.6161616161616164</v>
      </c>
      <c r="K28" s="1" t="s">
        <v>43</v>
      </c>
      <c r="L28" s="1">
        <f t="shared" si="1"/>
        <v>-3053.3999999999992</v>
      </c>
      <c r="M28" s="1" t="s">
        <v>67</v>
      </c>
      <c r="N28" s="1" t="s">
        <v>50</v>
      </c>
      <c r="O28" s="1"/>
      <c r="P28" s="1" t="s">
        <v>77</v>
      </c>
      <c r="Q28" s="1" t="s">
        <v>24</v>
      </c>
      <c r="R28" s="1" t="s">
        <v>25</v>
      </c>
      <c r="S28" s="1">
        <f t="shared" si="2"/>
        <v>-3053.3999999999992</v>
      </c>
      <c r="T28" s="1" t="s">
        <v>45</v>
      </c>
      <c r="U28" s="1">
        <f t="shared" si="3"/>
        <v>51510</v>
      </c>
    </row>
    <row r="29" spans="1:21" x14ac:dyDescent="0.2">
      <c r="A29" s="2">
        <v>45853</v>
      </c>
      <c r="B29" s="1" t="s">
        <v>71</v>
      </c>
      <c r="C29" s="1" t="s">
        <v>22</v>
      </c>
      <c r="D29" s="1">
        <v>999</v>
      </c>
      <c r="E29" s="1">
        <v>912</v>
      </c>
      <c r="F29" s="1">
        <v>1306</v>
      </c>
      <c r="G29" s="1">
        <v>1000.1</v>
      </c>
      <c r="H29" s="1">
        <v>34</v>
      </c>
      <c r="I29" s="1">
        <f t="shared" si="4"/>
        <v>2958</v>
      </c>
      <c r="J29" s="1">
        <f t="shared" si="0"/>
        <v>3.5287356321839081</v>
      </c>
      <c r="K29" s="1" t="s">
        <v>46</v>
      </c>
      <c r="L29" s="1">
        <f t="shared" si="1"/>
        <v>37.400000000000773</v>
      </c>
      <c r="M29" s="1" t="s">
        <v>67</v>
      </c>
      <c r="N29" s="1" t="s">
        <v>99</v>
      </c>
      <c r="O29" s="1"/>
      <c r="P29" s="1" t="s">
        <v>78</v>
      </c>
      <c r="Q29" s="1" t="s">
        <v>24</v>
      </c>
      <c r="R29" s="1" t="s">
        <v>25</v>
      </c>
      <c r="S29" s="1">
        <f t="shared" si="2"/>
        <v>37.400000000000773</v>
      </c>
      <c r="T29" s="1" t="s">
        <v>45</v>
      </c>
      <c r="U29" s="1">
        <f t="shared" si="3"/>
        <v>33966</v>
      </c>
    </row>
    <row r="30" spans="1:21" s="5" customFormat="1" x14ac:dyDescent="0.2">
      <c r="A30" s="4">
        <v>45863</v>
      </c>
      <c r="B30" s="3" t="s">
        <v>26</v>
      </c>
      <c r="C30" s="3" t="s">
        <v>22</v>
      </c>
      <c r="D30" s="3">
        <v>1303</v>
      </c>
      <c r="E30" s="3">
        <v>1200</v>
      </c>
      <c r="F30" s="3">
        <v>1560</v>
      </c>
      <c r="G30" s="3">
        <v>1434</v>
      </c>
      <c r="H30" s="3">
        <v>30</v>
      </c>
      <c r="I30" s="3">
        <f t="shared" si="4"/>
        <v>3090</v>
      </c>
      <c r="J30" s="3">
        <f t="shared" si="0"/>
        <v>2.4951456310679609</v>
      </c>
      <c r="K30" s="1" t="s">
        <v>46</v>
      </c>
      <c r="L30" s="1">
        <f t="shared" si="1"/>
        <v>3930</v>
      </c>
      <c r="M30" s="3" t="s">
        <v>74</v>
      </c>
      <c r="N30" s="3" t="s">
        <v>96</v>
      </c>
      <c r="O30" s="3"/>
      <c r="P30" s="3"/>
      <c r="Q30" s="3" t="s">
        <v>24</v>
      </c>
      <c r="R30" s="3" t="s">
        <v>25</v>
      </c>
      <c r="S30" s="3">
        <f t="shared" si="2"/>
        <v>3930</v>
      </c>
      <c r="T30" s="1" t="s">
        <v>45</v>
      </c>
      <c r="U30" s="3">
        <f t="shared" si="3"/>
        <v>39090</v>
      </c>
    </row>
    <row r="31" spans="1:21" x14ac:dyDescent="0.2">
      <c r="A31" s="2">
        <v>45866</v>
      </c>
      <c r="B31" s="1" t="s">
        <v>81</v>
      </c>
      <c r="C31" s="1" t="s">
        <v>22</v>
      </c>
      <c r="D31" s="1">
        <v>934</v>
      </c>
      <c r="E31" s="1">
        <v>883.25</v>
      </c>
      <c r="F31" s="1">
        <v>1100</v>
      </c>
      <c r="G31" s="1">
        <v>883.25</v>
      </c>
      <c r="H31" s="1">
        <v>63</v>
      </c>
      <c r="I31" s="1">
        <f t="shared" si="4"/>
        <v>3197.25</v>
      </c>
      <c r="J31" s="1">
        <f t="shared" si="0"/>
        <v>3.270935960591133</v>
      </c>
      <c r="K31" s="1" t="s">
        <v>43</v>
      </c>
      <c r="L31" s="1">
        <f t="shared" si="1"/>
        <v>-3197.25</v>
      </c>
      <c r="M31" s="1" t="s">
        <v>56</v>
      </c>
      <c r="N31" s="1" t="s">
        <v>50</v>
      </c>
      <c r="O31" s="1"/>
      <c r="P31" s="1"/>
      <c r="Q31" s="1" t="s">
        <v>24</v>
      </c>
      <c r="R31" s="1" t="s">
        <v>25</v>
      </c>
      <c r="S31" s="1">
        <f t="shared" si="2"/>
        <v>-3197.25</v>
      </c>
      <c r="T31" s="1" t="s">
        <v>45</v>
      </c>
      <c r="U31" s="1">
        <f t="shared" si="3"/>
        <v>58842</v>
      </c>
    </row>
    <row r="32" spans="1:21" x14ac:dyDescent="0.2">
      <c r="A32" s="2">
        <v>45868</v>
      </c>
      <c r="B32" s="1" t="s">
        <v>79</v>
      </c>
      <c r="C32" s="1" t="s">
        <v>22</v>
      </c>
      <c r="D32" s="1">
        <v>220</v>
      </c>
      <c r="E32" s="1">
        <v>207</v>
      </c>
      <c r="F32" s="1">
        <v>272</v>
      </c>
      <c r="G32" s="1">
        <v>206.72</v>
      </c>
      <c r="H32" s="1">
        <v>231</v>
      </c>
      <c r="I32" s="1">
        <f t="shared" si="4"/>
        <v>3003</v>
      </c>
      <c r="J32" s="1">
        <f t="shared" si="0"/>
        <v>4</v>
      </c>
      <c r="K32" s="1" t="s">
        <v>43</v>
      </c>
      <c r="L32" s="1">
        <f t="shared" si="1"/>
        <v>-3067.6800000000003</v>
      </c>
      <c r="M32" s="1" t="s">
        <v>80</v>
      </c>
      <c r="N32" s="1" t="s">
        <v>50</v>
      </c>
      <c r="O32" s="1"/>
      <c r="P32" s="1"/>
      <c r="Q32" s="1" t="s">
        <v>24</v>
      </c>
      <c r="R32" s="1" t="s">
        <v>25</v>
      </c>
      <c r="S32" s="1">
        <f t="shared" si="2"/>
        <v>-3067.6800000000003</v>
      </c>
      <c r="T32" s="1" t="s">
        <v>45</v>
      </c>
      <c r="U32" s="1">
        <f t="shared" si="3"/>
        <v>50820</v>
      </c>
    </row>
    <row r="33" spans="1:21" x14ac:dyDescent="0.2">
      <c r="A33" s="2">
        <v>45870</v>
      </c>
      <c r="B33" s="1" t="s">
        <v>66</v>
      </c>
      <c r="C33" s="1" t="s">
        <v>22</v>
      </c>
      <c r="D33" s="1">
        <v>1864.5</v>
      </c>
      <c r="E33" s="1">
        <v>1814.5</v>
      </c>
      <c r="F33" s="1">
        <v>2064</v>
      </c>
      <c r="G33" s="1">
        <v>1813.41</v>
      </c>
      <c r="H33" s="1">
        <v>60</v>
      </c>
      <c r="I33" s="1">
        <f t="shared" si="4"/>
        <v>3000</v>
      </c>
      <c r="J33" s="1">
        <f t="shared" si="0"/>
        <v>3.99</v>
      </c>
      <c r="K33" s="1" t="s">
        <v>43</v>
      </c>
      <c r="L33" s="1">
        <f t="shared" si="1"/>
        <v>-3065.3999999999951</v>
      </c>
      <c r="M33" s="1" t="s">
        <v>82</v>
      </c>
      <c r="N33" s="1" t="s">
        <v>50</v>
      </c>
      <c r="O33" s="1"/>
      <c r="P33" s="1"/>
      <c r="Q33" s="1" t="s">
        <v>24</v>
      </c>
      <c r="R33" s="1" t="s">
        <v>25</v>
      </c>
      <c r="S33" s="1">
        <f t="shared" si="2"/>
        <v>-3065.3999999999951</v>
      </c>
      <c r="T33" s="1" t="s">
        <v>45</v>
      </c>
      <c r="U33" s="1">
        <f t="shared" si="3"/>
        <v>111870</v>
      </c>
    </row>
    <row r="34" spans="1:21" x14ac:dyDescent="0.2">
      <c r="A34" s="2">
        <v>45881</v>
      </c>
      <c r="B34" s="1" t="s">
        <v>83</v>
      </c>
      <c r="C34" s="1" t="s">
        <v>22</v>
      </c>
      <c r="D34" s="1">
        <v>708.5</v>
      </c>
      <c r="E34" s="1">
        <v>641.5</v>
      </c>
      <c r="F34" s="1">
        <v>982.8</v>
      </c>
      <c r="G34" s="1">
        <v>909.84</v>
      </c>
      <c r="H34" s="1">
        <v>44</v>
      </c>
      <c r="I34" s="1">
        <f t="shared" si="4"/>
        <v>2948</v>
      </c>
      <c r="J34" s="1">
        <f t="shared" ref="J34:J60" si="5">(F34-D34)/(D34-E34)</f>
        <v>4.094029850746268</v>
      </c>
      <c r="K34" s="1" t="s">
        <v>46</v>
      </c>
      <c r="L34" s="1">
        <f t="shared" si="1"/>
        <v>8858.9600000000009</v>
      </c>
      <c r="M34" s="1" t="s">
        <v>56</v>
      </c>
      <c r="N34" s="1" t="s">
        <v>94</v>
      </c>
      <c r="O34" s="1" t="s">
        <v>95</v>
      </c>
      <c r="P34" s="1"/>
      <c r="Q34" s="1" t="s">
        <v>24</v>
      </c>
      <c r="R34" s="1" t="s">
        <v>25</v>
      </c>
      <c r="S34" s="1">
        <f t="shared" ref="S34:S60" si="6">L34</f>
        <v>8858.9600000000009</v>
      </c>
      <c r="T34" s="1" t="s">
        <v>45</v>
      </c>
      <c r="U34" s="1">
        <f t="shared" ref="U34:U65" si="7">H34*D34</f>
        <v>31174</v>
      </c>
    </row>
    <row r="35" spans="1:21" x14ac:dyDescent="0.2">
      <c r="A35" s="2">
        <v>45881</v>
      </c>
      <c r="B35" s="1" t="s">
        <v>87</v>
      </c>
      <c r="C35" s="1" t="s">
        <v>22</v>
      </c>
      <c r="D35" s="1">
        <v>2540</v>
      </c>
      <c r="E35" s="1">
        <v>2440</v>
      </c>
      <c r="F35" s="1">
        <v>2900</v>
      </c>
      <c r="G35" s="1">
        <v>2440</v>
      </c>
      <c r="H35" s="1">
        <v>30</v>
      </c>
      <c r="I35" s="1">
        <f t="shared" si="4"/>
        <v>3000</v>
      </c>
      <c r="J35" s="1">
        <f t="shared" si="5"/>
        <v>3.6</v>
      </c>
      <c r="K35" s="1" t="s">
        <v>43</v>
      </c>
      <c r="L35" s="1">
        <f t="shared" si="1"/>
        <v>-3000</v>
      </c>
      <c r="M35" s="1" t="s">
        <v>93</v>
      </c>
      <c r="N35" s="1"/>
      <c r="O35" s="1"/>
      <c r="P35" s="1"/>
      <c r="Q35" s="1" t="s">
        <v>24</v>
      </c>
      <c r="R35" s="1" t="s">
        <v>25</v>
      </c>
      <c r="S35" s="1">
        <f t="shared" si="6"/>
        <v>-3000</v>
      </c>
      <c r="T35" s="1" t="s">
        <v>45</v>
      </c>
      <c r="U35" s="1">
        <f t="shared" si="7"/>
        <v>76200</v>
      </c>
    </row>
    <row r="36" spans="1:21" x14ac:dyDescent="0.2">
      <c r="A36" s="2">
        <v>45881</v>
      </c>
      <c r="B36" s="1" t="s">
        <v>88</v>
      </c>
      <c r="C36" s="1" t="s">
        <v>22</v>
      </c>
      <c r="D36" s="1">
        <v>1943</v>
      </c>
      <c r="E36" s="1">
        <v>1875</v>
      </c>
      <c r="F36" s="1">
        <v>2274</v>
      </c>
      <c r="G36" s="1">
        <v>1941</v>
      </c>
      <c r="H36" s="1">
        <v>42</v>
      </c>
      <c r="I36" s="1">
        <f t="shared" si="4"/>
        <v>2856</v>
      </c>
      <c r="J36" s="1">
        <f t="shared" si="5"/>
        <v>4.867647058823529</v>
      </c>
      <c r="K36" s="1" t="s">
        <v>43</v>
      </c>
      <c r="L36" s="1">
        <f t="shared" si="1"/>
        <v>-84</v>
      </c>
      <c r="M36" s="1" t="s">
        <v>92</v>
      </c>
      <c r="N36" s="1"/>
      <c r="O36" s="1"/>
      <c r="P36" s="1"/>
      <c r="Q36" s="1" t="s">
        <v>24</v>
      </c>
      <c r="R36" s="1" t="s">
        <v>25</v>
      </c>
      <c r="S36" s="1">
        <f t="shared" si="6"/>
        <v>-84</v>
      </c>
      <c r="T36" s="1" t="s">
        <v>45</v>
      </c>
      <c r="U36" s="1">
        <f t="shared" si="7"/>
        <v>81606</v>
      </c>
    </row>
    <row r="37" spans="1:21" x14ac:dyDescent="0.2">
      <c r="A37" s="2">
        <v>45881</v>
      </c>
      <c r="B37" s="1" t="s">
        <v>89</v>
      </c>
      <c r="C37" s="1" t="s">
        <v>22</v>
      </c>
      <c r="D37" s="1">
        <v>408.5</v>
      </c>
      <c r="E37" s="1">
        <v>388.95</v>
      </c>
      <c r="F37" s="1">
        <v>479</v>
      </c>
      <c r="G37" s="1">
        <v>409.26</v>
      </c>
      <c r="H37" s="1">
        <v>150</v>
      </c>
      <c r="I37" s="1">
        <f t="shared" si="4"/>
        <v>2932.5000000000018</v>
      </c>
      <c r="J37" s="1">
        <f t="shared" si="5"/>
        <v>3.6061381074168777</v>
      </c>
      <c r="K37" s="1" t="s">
        <v>46</v>
      </c>
      <c r="L37" s="1">
        <f t="shared" si="1"/>
        <v>113.99999999999864</v>
      </c>
      <c r="M37" s="1" t="s">
        <v>91</v>
      </c>
      <c r="N37" s="1" t="s">
        <v>100</v>
      </c>
      <c r="O37" s="1"/>
      <c r="P37" s="1"/>
      <c r="Q37" s="1" t="s">
        <v>24</v>
      </c>
      <c r="R37" s="1" t="s">
        <v>25</v>
      </c>
      <c r="S37" s="1">
        <f t="shared" si="6"/>
        <v>113.99999999999864</v>
      </c>
      <c r="T37" s="1" t="s">
        <v>45</v>
      </c>
      <c r="U37" s="1">
        <f t="shared" si="7"/>
        <v>61275</v>
      </c>
    </row>
    <row r="38" spans="1:21" x14ac:dyDescent="0.2">
      <c r="A38" s="2">
        <v>45883</v>
      </c>
      <c r="B38" s="1" t="s">
        <v>69</v>
      </c>
      <c r="C38" s="1" t="s">
        <v>84</v>
      </c>
      <c r="D38" s="1">
        <v>634.39</v>
      </c>
      <c r="E38" s="1">
        <v>652</v>
      </c>
      <c r="F38" s="1">
        <v>600</v>
      </c>
      <c r="G38" s="1">
        <v>652</v>
      </c>
      <c r="H38" s="1">
        <v>34</v>
      </c>
      <c r="I38" s="1">
        <f>(E38- D38)*H38</f>
        <v>598.74000000000046</v>
      </c>
      <c r="J38" s="1">
        <f t="shared" si="5"/>
        <v>1.952867688813172</v>
      </c>
      <c r="K38" s="1" t="s">
        <v>43</v>
      </c>
      <c r="L38" s="1">
        <f>(D38-G38)*H38</f>
        <v>-598.74000000000046</v>
      </c>
      <c r="M38" s="1" t="s">
        <v>85</v>
      </c>
      <c r="N38" s="1" t="s">
        <v>90</v>
      </c>
      <c r="O38" s="1"/>
      <c r="P38" s="1"/>
      <c r="Q38" s="1" t="s">
        <v>86</v>
      </c>
      <c r="R38" s="1" t="s">
        <v>25</v>
      </c>
      <c r="S38" s="1">
        <f t="shared" si="6"/>
        <v>-598.74000000000046</v>
      </c>
      <c r="T38" s="1" t="s">
        <v>45</v>
      </c>
      <c r="U38" s="1">
        <f t="shared" si="7"/>
        <v>21569.26</v>
      </c>
    </row>
    <row r="39" spans="1:21" x14ac:dyDescent="0.2">
      <c r="A39" s="2">
        <v>45883</v>
      </c>
      <c r="B39" s="1" t="s">
        <v>69</v>
      </c>
      <c r="C39" s="1" t="s">
        <v>22</v>
      </c>
      <c r="D39" s="1">
        <v>652</v>
      </c>
      <c r="E39" s="1">
        <v>615</v>
      </c>
      <c r="F39" s="1">
        <v>750</v>
      </c>
      <c r="G39" s="1">
        <v>648.44000000000005</v>
      </c>
      <c r="H39" s="1">
        <v>86</v>
      </c>
      <c r="I39" s="1">
        <f t="shared" ref="I39:I60" si="8">(D39-E39)*H39</f>
        <v>3182</v>
      </c>
      <c r="J39" s="1">
        <f t="shared" si="5"/>
        <v>2.6486486486486487</v>
      </c>
      <c r="K39" s="1" t="s">
        <v>43</v>
      </c>
      <c r="L39" s="1">
        <f>(G39-D39)*H39</f>
        <v>-306.15999999999531</v>
      </c>
      <c r="M39" s="1"/>
      <c r="N39" s="1"/>
      <c r="O39" s="1"/>
      <c r="P39" s="1"/>
      <c r="Q39" s="1" t="s">
        <v>24</v>
      </c>
      <c r="R39" s="1" t="s">
        <v>25</v>
      </c>
      <c r="S39" s="1">
        <f t="shared" si="6"/>
        <v>-306.15999999999531</v>
      </c>
      <c r="T39" s="1" t="s">
        <v>45</v>
      </c>
      <c r="U39" s="1">
        <f t="shared" si="7"/>
        <v>56072</v>
      </c>
    </row>
    <row r="40" spans="1:21" x14ac:dyDescent="0.2">
      <c r="A40" s="2">
        <v>45916</v>
      </c>
      <c r="B40" s="1" t="s">
        <v>101</v>
      </c>
      <c r="C40" s="1" t="s">
        <v>22</v>
      </c>
      <c r="D40" s="1">
        <v>924.79</v>
      </c>
      <c r="E40" s="1">
        <v>875.77</v>
      </c>
      <c r="F40" s="1"/>
      <c r="G40" s="1">
        <v>875.77</v>
      </c>
      <c r="H40" s="1">
        <v>111</v>
      </c>
      <c r="I40" s="1">
        <f>(D40-E40)*H40</f>
        <v>5441.2199999999975</v>
      </c>
      <c r="J40" s="1">
        <f>(F40-D40)/(D40-E40)</f>
        <v>-18.865565075479402</v>
      </c>
      <c r="K40" s="1" t="s">
        <v>43</v>
      </c>
      <c r="L40" s="1">
        <f>(G40-D40)*H40</f>
        <v>-5441.2199999999975</v>
      </c>
      <c r="M40" s="1"/>
      <c r="N40" s="1"/>
      <c r="O40" s="1"/>
      <c r="P40" s="1"/>
      <c r="Q40" s="1" t="s">
        <v>86</v>
      </c>
      <c r="R40" s="1" t="s">
        <v>25</v>
      </c>
      <c r="S40" s="1">
        <f t="shared" si="6"/>
        <v>-5441.2199999999975</v>
      </c>
      <c r="T40" s="1" t="s">
        <v>45</v>
      </c>
      <c r="U40" s="1">
        <f t="shared" si="7"/>
        <v>102651.69</v>
      </c>
    </row>
    <row r="41" spans="1:21" x14ac:dyDescent="0.2">
      <c r="A41" s="2">
        <v>45917</v>
      </c>
      <c r="B41" s="1" t="s">
        <v>102</v>
      </c>
      <c r="C41" s="1" t="s">
        <v>22</v>
      </c>
      <c r="D41" s="1">
        <v>452</v>
      </c>
      <c r="E41" s="1"/>
      <c r="F41" s="1"/>
      <c r="G41" s="1"/>
      <c r="H41" s="1">
        <v>185</v>
      </c>
      <c r="I41" s="1">
        <f>(D41-E41)*H41</f>
        <v>83620</v>
      </c>
      <c r="J41" s="1">
        <f>(F41-D41)/(D41-E41)</f>
        <v>-1</v>
      </c>
      <c r="K41" s="1"/>
      <c r="L41" s="1"/>
      <c r="M41" s="1"/>
      <c r="N41" s="1"/>
      <c r="O41" s="1"/>
      <c r="P41" s="1"/>
      <c r="Q41" s="1" t="s">
        <v>86</v>
      </c>
      <c r="R41" s="1" t="s">
        <v>25</v>
      </c>
      <c r="S41" s="1">
        <f t="shared" si="6"/>
        <v>0</v>
      </c>
      <c r="T41" s="1"/>
      <c r="U41" s="1">
        <f t="shared" si="7"/>
        <v>83620</v>
      </c>
    </row>
    <row r="42" spans="1:21" x14ac:dyDescent="0.2">
      <c r="A42" s="2">
        <v>45917</v>
      </c>
      <c r="B42" s="1" t="s">
        <v>103</v>
      </c>
      <c r="C42" s="1" t="s">
        <v>22</v>
      </c>
      <c r="D42" s="1">
        <v>1050.5</v>
      </c>
      <c r="E42" s="1">
        <v>995.07</v>
      </c>
      <c r="F42" s="1"/>
      <c r="G42" s="1">
        <v>995.07</v>
      </c>
      <c r="H42" s="1">
        <v>93</v>
      </c>
      <c r="I42" s="1">
        <f>(D42-E42)*H42</f>
        <v>5154.9899999999952</v>
      </c>
      <c r="J42" s="1">
        <f>(F42-D42)/(D42-E42)</f>
        <v>-18.951831138372739</v>
      </c>
      <c r="K42" s="1" t="s">
        <v>43</v>
      </c>
      <c r="L42" s="1">
        <f t="shared" ref="L42:L52" si="9">(G42-D42)*H42</f>
        <v>-5154.9899999999952</v>
      </c>
      <c r="M42" s="1" t="s">
        <v>126</v>
      </c>
      <c r="N42" s="1" t="s">
        <v>50</v>
      </c>
      <c r="O42" s="1"/>
      <c r="P42" s="1"/>
      <c r="Q42" s="1" t="s">
        <v>86</v>
      </c>
      <c r="R42" s="1" t="s">
        <v>25</v>
      </c>
      <c r="S42" s="1">
        <f t="shared" si="6"/>
        <v>-5154.9899999999952</v>
      </c>
      <c r="T42" s="1" t="s">
        <v>45</v>
      </c>
      <c r="U42" s="1">
        <f t="shared" si="7"/>
        <v>97696.5</v>
      </c>
    </row>
    <row r="43" spans="1:21" x14ac:dyDescent="0.2">
      <c r="A43" s="2">
        <v>45917</v>
      </c>
      <c r="B43" s="1" t="s">
        <v>113</v>
      </c>
      <c r="C43" s="1" t="s">
        <v>22</v>
      </c>
      <c r="D43" s="1">
        <v>235.84</v>
      </c>
      <c r="E43" s="1">
        <v>219.77</v>
      </c>
      <c r="F43" s="1"/>
      <c r="G43" s="1">
        <v>219.77</v>
      </c>
      <c r="H43" s="1">
        <v>333</v>
      </c>
      <c r="I43" s="1">
        <f>(D43-E43)*H43</f>
        <v>5351.3099999999977</v>
      </c>
      <c r="J43" s="1">
        <f>(F43-D43)/(D43-E43)</f>
        <v>-14.675793403858128</v>
      </c>
      <c r="K43" s="1" t="s">
        <v>43</v>
      </c>
      <c r="L43" s="1">
        <f t="shared" si="9"/>
        <v>-5351.3099999999977</v>
      </c>
      <c r="M43" s="1" t="s">
        <v>126</v>
      </c>
      <c r="N43" s="1" t="s">
        <v>50</v>
      </c>
      <c r="O43" s="1"/>
      <c r="P43" s="1"/>
      <c r="Q43" s="1" t="s">
        <v>86</v>
      </c>
      <c r="R43" s="1" t="s">
        <v>25</v>
      </c>
      <c r="S43" s="1">
        <f t="shared" si="6"/>
        <v>-5351.3099999999977</v>
      </c>
      <c r="T43" s="1" t="s">
        <v>45</v>
      </c>
      <c r="U43" s="1">
        <f t="shared" si="7"/>
        <v>78534.720000000001</v>
      </c>
    </row>
    <row r="44" spans="1:21" x14ac:dyDescent="0.2">
      <c r="A44" s="2">
        <v>45917</v>
      </c>
      <c r="B44" s="1" t="s">
        <v>114</v>
      </c>
      <c r="C44" s="1" t="s">
        <v>22</v>
      </c>
      <c r="D44" s="1">
        <v>219</v>
      </c>
      <c r="E44" s="1">
        <v>209.26</v>
      </c>
      <c r="F44" s="1"/>
      <c r="G44" s="1">
        <v>209.26</v>
      </c>
      <c r="H44" s="1">
        <v>500</v>
      </c>
      <c r="I44" s="1">
        <f>(D44-E44)*H44</f>
        <v>4870.0000000000045</v>
      </c>
      <c r="J44" s="1">
        <f>(F44-D44)/(D44-E44)</f>
        <v>-22.484599589322361</v>
      </c>
      <c r="K44" s="1" t="s">
        <v>43</v>
      </c>
      <c r="L44" s="1">
        <f t="shared" si="9"/>
        <v>-4870.0000000000045</v>
      </c>
      <c r="M44" s="1" t="s">
        <v>126</v>
      </c>
      <c r="N44" s="1" t="s">
        <v>50</v>
      </c>
      <c r="O44" s="1"/>
      <c r="P44" s="1"/>
      <c r="Q44" s="1" t="s">
        <v>86</v>
      </c>
      <c r="R44" s="1" t="s">
        <v>25</v>
      </c>
      <c r="S44" s="1">
        <f t="shared" si="6"/>
        <v>-4870.0000000000045</v>
      </c>
      <c r="T44" s="1" t="s">
        <v>45</v>
      </c>
      <c r="U44" s="1">
        <f t="shared" si="7"/>
        <v>109500</v>
      </c>
    </row>
    <row r="45" spans="1:21" x14ac:dyDescent="0.2">
      <c r="A45" s="2">
        <v>45919</v>
      </c>
      <c r="B45" s="1" t="s">
        <v>97</v>
      </c>
      <c r="C45" s="1" t="s">
        <v>22</v>
      </c>
      <c r="D45" s="1">
        <v>1243.5</v>
      </c>
      <c r="E45" s="1">
        <v>1181.0899999999999</v>
      </c>
      <c r="F45" s="1">
        <f>D45 + 4 * (D45-E45)</f>
        <v>1493.1400000000003</v>
      </c>
      <c r="G45" s="1">
        <v>1181.0899999999999</v>
      </c>
      <c r="H45" s="1">
        <v>80</v>
      </c>
      <c r="I45" s="1">
        <f t="shared" si="8"/>
        <v>4992.8000000000065</v>
      </c>
      <c r="J45" s="1">
        <f t="shared" si="5"/>
        <v>4</v>
      </c>
      <c r="K45" s="1" t="s">
        <v>43</v>
      </c>
      <c r="L45" s="1">
        <f t="shared" si="9"/>
        <v>-4992.8000000000065</v>
      </c>
      <c r="M45" s="1" t="s">
        <v>126</v>
      </c>
      <c r="N45" s="1" t="s">
        <v>50</v>
      </c>
      <c r="O45" s="1"/>
      <c r="P45" s="1"/>
      <c r="Q45" s="1" t="s">
        <v>86</v>
      </c>
      <c r="R45" s="1" t="s">
        <v>25</v>
      </c>
      <c r="S45" s="1">
        <f t="shared" si="6"/>
        <v>-4992.8000000000065</v>
      </c>
      <c r="T45" s="1" t="s">
        <v>45</v>
      </c>
      <c r="U45" s="1">
        <f t="shared" si="7"/>
        <v>99480</v>
      </c>
    </row>
    <row r="46" spans="1:21" x14ac:dyDescent="0.2">
      <c r="A46" s="2">
        <v>45919</v>
      </c>
      <c r="B46" s="1" t="s">
        <v>104</v>
      </c>
      <c r="C46" s="1" t="s">
        <v>22</v>
      </c>
      <c r="D46" s="1">
        <v>937.5</v>
      </c>
      <c r="E46" s="1">
        <v>891.55</v>
      </c>
      <c r="F46" s="1"/>
      <c r="G46" s="1">
        <v>891.55</v>
      </c>
      <c r="H46" s="1">
        <v>109</v>
      </c>
      <c r="I46" s="1">
        <f t="shared" si="8"/>
        <v>5008.5500000000047</v>
      </c>
      <c r="J46" s="1">
        <f t="shared" si="5"/>
        <v>-20.402611534276367</v>
      </c>
      <c r="K46" s="1" t="s">
        <v>43</v>
      </c>
      <c r="L46" s="1">
        <f t="shared" si="9"/>
        <v>-5008.5500000000047</v>
      </c>
      <c r="M46" s="1" t="s">
        <v>126</v>
      </c>
      <c r="N46" s="1" t="s">
        <v>50</v>
      </c>
      <c r="O46" s="1"/>
      <c r="P46" s="1"/>
      <c r="Q46" s="1" t="s">
        <v>86</v>
      </c>
      <c r="R46" s="1" t="s">
        <v>25</v>
      </c>
      <c r="S46" s="1">
        <f t="shared" si="6"/>
        <v>-5008.5500000000047</v>
      </c>
      <c r="T46" s="1" t="s">
        <v>45</v>
      </c>
      <c r="U46" s="1">
        <f t="shared" si="7"/>
        <v>102187.5</v>
      </c>
    </row>
    <row r="47" spans="1:21" x14ac:dyDescent="0.2">
      <c r="A47" s="2">
        <v>45922</v>
      </c>
      <c r="B47" s="1" t="s">
        <v>98</v>
      </c>
      <c r="C47" s="1" t="s">
        <v>22</v>
      </c>
      <c r="D47" s="1">
        <v>339.45</v>
      </c>
      <c r="E47" s="1">
        <v>318.23</v>
      </c>
      <c r="F47" s="1">
        <f>D47 + 4 * (D47-E47)</f>
        <v>424.32999999999987</v>
      </c>
      <c r="G47" s="1">
        <v>318.23</v>
      </c>
      <c r="H47" s="1">
        <v>250</v>
      </c>
      <c r="I47" s="1">
        <f t="shared" si="8"/>
        <v>5304.9999999999927</v>
      </c>
      <c r="J47" s="1">
        <f t="shared" si="5"/>
        <v>4</v>
      </c>
      <c r="K47" s="1" t="s">
        <v>43</v>
      </c>
      <c r="L47" s="1">
        <f t="shared" si="9"/>
        <v>-5304.9999999999927</v>
      </c>
      <c r="M47" s="1" t="s">
        <v>126</v>
      </c>
      <c r="N47" s="1" t="s">
        <v>50</v>
      </c>
      <c r="O47" s="1"/>
      <c r="P47" s="1"/>
      <c r="Q47" s="1" t="s">
        <v>86</v>
      </c>
      <c r="R47" s="1" t="s">
        <v>25</v>
      </c>
      <c r="S47" s="1">
        <f t="shared" si="6"/>
        <v>-5304.9999999999927</v>
      </c>
      <c r="T47" s="1" t="s">
        <v>45</v>
      </c>
      <c r="U47" s="1">
        <f t="shared" si="7"/>
        <v>84862.5</v>
      </c>
    </row>
    <row r="48" spans="1:21" x14ac:dyDescent="0.2">
      <c r="A48" s="2">
        <v>45922</v>
      </c>
      <c r="B48" s="1" t="s">
        <v>105</v>
      </c>
      <c r="C48" s="1" t="s">
        <v>22</v>
      </c>
      <c r="D48" s="1">
        <v>3650</v>
      </c>
      <c r="E48" s="1">
        <v>3498.2</v>
      </c>
      <c r="F48" s="1"/>
      <c r="G48" s="1">
        <v>3498.2</v>
      </c>
      <c r="H48" s="1">
        <v>33</v>
      </c>
      <c r="I48" s="1">
        <f t="shared" si="8"/>
        <v>5009.400000000006</v>
      </c>
      <c r="J48" s="1">
        <f t="shared" si="5"/>
        <v>-24.04479578392619</v>
      </c>
      <c r="K48" s="1" t="s">
        <v>43</v>
      </c>
      <c r="L48" s="1">
        <f t="shared" si="9"/>
        <v>-5009.400000000006</v>
      </c>
      <c r="M48" s="1" t="s">
        <v>126</v>
      </c>
      <c r="N48" s="1" t="s">
        <v>50</v>
      </c>
      <c r="O48" s="1"/>
      <c r="P48" s="1"/>
      <c r="Q48" s="1" t="s">
        <v>86</v>
      </c>
      <c r="R48" s="1" t="s">
        <v>25</v>
      </c>
      <c r="S48" s="1">
        <f t="shared" si="6"/>
        <v>-5009.400000000006</v>
      </c>
      <c r="T48" s="1" t="s">
        <v>45</v>
      </c>
      <c r="U48" s="1">
        <f t="shared" si="7"/>
        <v>120450</v>
      </c>
    </row>
    <row r="49" spans="1:21" x14ac:dyDescent="0.2">
      <c r="A49" s="2">
        <v>45933</v>
      </c>
      <c r="B49" s="1" t="s">
        <v>106</v>
      </c>
      <c r="C49" s="1" t="s">
        <v>22</v>
      </c>
      <c r="D49" s="1">
        <v>5250</v>
      </c>
      <c r="E49" s="1"/>
      <c r="F49" s="1"/>
      <c r="G49" s="1">
        <v>5390.67</v>
      </c>
      <c r="H49" s="1">
        <v>24</v>
      </c>
      <c r="I49" s="1">
        <f t="shared" si="8"/>
        <v>126000</v>
      </c>
      <c r="J49" s="1">
        <f t="shared" si="5"/>
        <v>-1</v>
      </c>
      <c r="K49" s="1" t="s">
        <v>46</v>
      </c>
      <c r="L49" s="1">
        <f t="shared" si="9"/>
        <v>3376.0800000000017</v>
      </c>
      <c r="M49" s="1" t="s">
        <v>126</v>
      </c>
      <c r="N49" s="1" t="s">
        <v>127</v>
      </c>
      <c r="O49" s="1"/>
      <c r="P49" s="1"/>
      <c r="Q49" s="1" t="s">
        <v>86</v>
      </c>
      <c r="R49" s="1" t="s">
        <v>25</v>
      </c>
      <c r="S49" s="1">
        <f t="shared" si="6"/>
        <v>3376.0800000000017</v>
      </c>
      <c r="T49" s="1" t="s">
        <v>45</v>
      </c>
      <c r="U49" s="1">
        <f t="shared" si="7"/>
        <v>126000</v>
      </c>
    </row>
    <row r="50" spans="1:21" x14ac:dyDescent="0.2">
      <c r="A50" s="2">
        <v>45933</v>
      </c>
      <c r="B50" s="1" t="s">
        <v>115</v>
      </c>
      <c r="C50" s="1" t="s">
        <v>22</v>
      </c>
      <c r="D50" s="1">
        <v>393.5</v>
      </c>
      <c r="E50" s="1">
        <v>374.55</v>
      </c>
      <c r="F50" s="1"/>
      <c r="G50" s="1">
        <v>374.55</v>
      </c>
      <c r="H50" s="1">
        <v>250</v>
      </c>
      <c r="I50" s="1">
        <f t="shared" si="8"/>
        <v>4737.4999999999973</v>
      </c>
      <c r="J50" s="1">
        <f t="shared" si="5"/>
        <v>-20.765171503957795</v>
      </c>
      <c r="K50" s="1" t="s">
        <v>43</v>
      </c>
      <c r="L50" s="1">
        <f t="shared" si="9"/>
        <v>-4737.4999999999973</v>
      </c>
      <c r="M50" s="1" t="s">
        <v>126</v>
      </c>
      <c r="N50" s="1" t="s">
        <v>50</v>
      </c>
      <c r="O50" s="1"/>
      <c r="P50" s="1"/>
      <c r="Q50" s="1" t="s">
        <v>86</v>
      </c>
      <c r="R50" s="1" t="s">
        <v>25</v>
      </c>
      <c r="S50" s="1">
        <f t="shared" si="6"/>
        <v>-4737.4999999999973</v>
      </c>
      <c r="T50" s="1" t="s">
        <v>45</v>
      </c>
      <c r="U50" s="1">
        <f t="shared" si="7"/>
        <v>98375</v>
      </c>
    </row>
    <row r="51" spans="1:21" x14ac:dyDescent="0.2">
      <c r="A51" s="2">
        <v>45937</v>
      </c>
      <c r="B51" s="1" t="s">
        <v>107</v>
      </c>
      <c r="C51" s="1" t="s">
        <v>22</v>
      </c>
      <c r="D51" s="1">
        <v>1220.73</v>
      </c>
      <c r="E51" s="1">
        <v>1180.23</v>
      </c>
      <c r="F51" s="1"/>
      <c r="G51" s="1">
        <v>1180.23</v>
      </c>
      <c r="H51" s="1">
        <v>100</v>
      </c>
      <c r="I51" s="1">
        <f t="shared" si="8"/>
        <v>4050</v>
      </c>
      <c r="J51" s="1">
        <f t="shared" si="5"/>
        <v>-30.141481481481481</v>
      </c>
      <c r="K51" s="1" t="s">
        <v>43</v>
      </c>
      <c r="L51" s="1">
        <f t="shared" si="9"/>
        <v>-4050</v>
      </c>
      <c r="M51" s="1" t="s">
        <v>126</v>
      </c>
      <c r="N51" s="1" t="s">
        <v>50</v>
      </c>
      <c r="O51" s="1"/>
      <c r="P51" s="1"/>
      <c r="Q51" s="1" t="s">
        <v>86</v>
      </c>
      <c r="R51" s="1" t="s">
        <v>25</v>
      </c>
      <c r="S51" s="1">
        <f t="shared" si="6"/>
        <v>-4050</v>
      </c>
      <c r="T51" s="1" t="s">
        <v>45</v>
      </c>
      <c r="U51" s="1">
        <f t="shared" si="7"/>
        <v>122073</v>
      </c>
    </row>
    <row r="52" spans="1:21" x14ac:dyDescent="0.2">
      <c r="A52" s="2">
        <v>45937</v>
      </c>
      <c r="B52" s="1" t="s">
        <v>108</v>
      </c>
      <c r="C52" s="1" t="s">
        <v>22</v>
      </c>
      <c r="D52" s="1">
        <v>214.91</v>
      </c>
      <c r="E52" s="1">
        <v>205.97</v>
      </c>
      <c r="F52" s="1"/>
      <c r="G52" s="1">
        <v>205.97</v>
      </c>
      <c r="H52" s="1">
        <v>568</v>
      </c>
      <c r="I52" s="1">
        <f t="shared" si="8"/>
        <v>5077.9199999999983</v>
      </c>
      <c r="J52" s="1">
        <f t="shared" si="5"/>
        <v>-24.039149888143182</v>
      </c>
      <c r="K52" s="1" t="s">
        <v>43</v>
      </c>
      <c r="L52" s="1">
        <f t="shared" si="9"/>
        <v>-5077.9199999999983</v>
      </c>
      <c r="M52" s="1" t="s">
        <v>126</v>
      </c>
      <c r="N52" s="1" t="s">
        <v>50</v>
      </c>
      <c r="O52" s="1"/>
      <c r="P52" s="1"/>
      <c r="Q52" s="1" t="s">
        <v>86</v>
      </c>
      <c r="R52" s="1" t="s">
        <v>25</v>
      </c>
      <c r="S52" s="1">
        <f t="shared" si="6"/>
        <v>-5077.9199999999983</v>
      </c>
      <c r="T52" s="1" t="s">
        <v>45</v>
      </c>
      <c r="U52" s="1">
        <f t="shared" si="7"/>
        <v>122068.88</v>
      </c>
    </row>
    <row r="53" spans="1:21" x14ac:dyDescent="0.2">
      <c r="A53" s="2">
        <v>45939</v>
      </c>
      <c r="B53" s="1" t="s">
        <v>69</v>
      </c>
      <c r="C53" s="1" t="s">
        <v>22</v>
      </c>
      <c r="D53" s="1">
        <v>721</v>
      </c>
      <c r="E53" s="1"/>
      <c r="F53" s="1"/>
      <c r="G53" s="1"/>
      <c r="H53" s="1">
        <v>156</v>
      </c>
      <c r="I53" s="1">
        <f t="shared" si="8"/>
        <v>112476</v>
      </c>
      <c r="J53" s="1">
        <f t="shared" si="5"/>
        <v>-1</v>
      </c>
      <c r="K53" s="1"/>
      <c r="L53" s="1"/>
      <c r="M53" s="1"/>
      <c r="N53" s="1"/>
      <c r="O53" s="1"/>
      <c r="P53" s="1"/>
      <c r="Q53" s="1" t="s">
        <v>86</v>
      </c>
      <c r="R53" s="1" t="s">
        <v>25</v>
      </c>
      <c r="S53" s="1">
        <f t="shared" si="6"/>
        <v>0</v>
      </c>
      <c r="T53" s="1"/>
      <c r="U53" s="1">
        <f t="shared" si="7"/>
        <v>112476</v>
      </c>
    </row>
    <row r="54" spans="1:21" x14ac:dyDescent="0.2">
      <c r="A54" s="2">
        <v>45944</v>
      </c>
      <c r="B54" s="1" t="s">
        <v>109</v>
      </c>
      <c r="C54" s="1" t="s">
        <v>22</v>
      </c>
      <c r="D54" s="1">
        <v>162.99</v>
      </c>
      <c r="E54" s="1"/>
      <c r="F54" s="1"/>
      <c r="G54" s="1"/>
      <c r="H54" s="1">
        <v>720</v>
      </c>
      <c r="I54" s="1">
        <f t="shared" si="8"/>
        <v>117352.8</v>
      </c>
      <c r="J54" s="1">
        <f t="shared" si="5"/>
        <v>-1</v>
      </c>
      <c r="K54" s="1"/>
      <c r="L54" s="1"/>
      <c r="M54" s="1" t="s">
        <v>91</v>
      </c>
      <c r="N54" s="1"/>
      <c r="O54" s="1"/>
      <c r="P54" s="1"/>
      <c r="Q54" s="1" t="s">
        <v>86</v>
      </c>
      <c r="R54" s="1" t="s">
        <v>25</v>
      </c>
      <c r="S54" s="1">
        <f t="shared" si="6"/>
        <v>0</v>
      </c>
      <c r="T54" s="1"/>
      <c r="U54" s="1">
        <f t="shared" si="7"/>
        <v>117352.8</v>
      </c>
    </row>
    <row r="55" spans="1:21" x14ac:dyDescent="0.2">
      <c r="A55" s="2">
        <v>45944</v>
      </c>
      <c r="B55" s="1" t="s">
        <v>110</v>
      </c>
      <c r="C55" s="1" t="s">
        <v>22</v>
      </c>
      <c r="D55" s="1">
        <v>808</v>
      </c>
      <c r="E55" s="1">
        <v>775.05</v>
      </c>
      <c r="F55" s="1"/>
      <c r="G55" s="1">
        <v>775.05</v>
      </c>
      <c r="H55" s="1">
        <v>147</v>
      </c>
      <c r="I55" s="1">
        <f t="shared" si="8"/>
        <v>4843.6500000000069</v>
      </c>
      <c r="J55" s="1">
        <f t="shared" si="5"/>
        <v>-24.522003034901331</v>
      </c>
      <c r="K55" s="1" t="s">
        <v>43</v>
      </c>
      <c r="L55" s="1">
        <f t="shared" ref="L55:L56" si="10">(G55-D55)*H55</f>
        <v>-4843.6500000000069</v>
      </c>
      <c r="M55" s="1" t="s">
        <v>91</v>
      </c>
      <c r="N55" s="1" t="s">
        <v>50</v>
      </c>
      <c r="O55" s="1"/>
      <c r="P55" s="1"/>
      <c r="Q55" s="1" t="s">
        <v>86</v>
      </c>
      <c r="R55" s="1" t="s">
        <v>25</v>
      </c>
      <c r="S55" s="1">
        <f t="shared" si="6"/>
        <v>-4843.6500000000069</v>
      </c>
      <c r="T55" s="1" t="s">
        <v>45</v>
      </c>
      <c r="U55" s="1">
        <f t="shared" si="7"/>
        <v>118776</v>
      </c>
    </row>
    <row r="56" spans="1:21" x14ac:dyDescent="0.2">
      <c r="A56" s="2">
        <v>45946</v>
      </c>
      <c r="B56" s="1" t="s">
        <v>116</v>
      </c>
      <c r="C56" s="1" t="s">
        <v>22</v>
      </c>
      <c r="D56" s="1">
        <v>645.5</v>
      </c>
      <c r="E56" s="1">
        <v>612.47</v>
      </c>
      <c r="F56" s="1"/>
      <c r="G56" s="1">
        <v>612.47</v>
      </c>
      <c r="H56" s="1">
        <v>156</v>
      </c>
      <c r="I56" s="1">
        <f t="shared" si="8"/>
        <v>5152.6799999999957</v>
      </c>
      <c r="J56" s="1">
        <f t="shared" si="5"/>
        <v>-19.542839842567378</v>
      </c>
      <c r="K56" s="1" t="s">
        <v>43</v>
      </c>
      <c r="L56" s="1">
        <f t="shared" si="10"/>
        <v>-5152.6799999999957</v>
      </c>
      <c r="M56" s="1" t="s">
        <v>91</v>
      </c>
      <c r="N56" s="1" t="s">
        <v>50</v>
      </c>
      <c r="O56" s="1"/>
      <c r="P56" s="1"/>
      <c r="Q56" s="1" t="s">
        <v>86</v>
      </c>
      <c r="R56" s="1" t="s">
        <v>25</v>
      </c>
      <c r="S56" s="1">
        <f t="shared" si="6"/>
        <v>-5152.6799999999957</v>
      </c>
      <c r="T56" s="1" t="s">
        <v>45</v>
      </c>
      <c r="U56" s="1">
        <f t="shared" si="7"/>
        <v>100698</v>
      </c>
    </row>
    <row r="57" spans="1:21" x14ac:dyDescent="0.2">
      <c r="A57" s="2">
        <v>45946</v>
      </c>
      <c r="B57" s="1" t="s">
        <v>117</v>
      </c>
      <c r="C57" s="1" t="s">
        <v>22</v>
      </c>
      <c r="D57" s="1">
        <v>114.05</v>
      </c>
      <c r="E57" s="1"/>
      <c r="F57" s="1"/>
      <c r="G57" s="1"/>
      <c r="H57" s="1">
        <v>862</v>
      </c>
      <c r="I57" s="1">
        <f t="shared" si="8"/>
        <v>98311.099999999991</v>
      </c>
      <c r="J57" s="1">
        <f t="shared" si="5"/>
        <v>-1</v>
      </c>
      <c r="K57" s="1"/>
      <c r="L57" s="1"/>
      <c r="M57" s="1" t="s">
        <v>91</v>
      </c>
      <c r="N57" s="1"/>
      <c r="O57" s="1"/>
      <c r="P57" s="1"/>
      <c r="Q57" s="1" t="s">
        <v>86</v>
      </c>
      <c r="R57" s="1" t="s">
        <v>25</v>
      </c>
      <c r="S57" s="1">
        <f t="shared" si="6"/>
        <v>0</v>
      </c>
      <c r="T57" s="1"/>
      <c r="U57" s="1">
        <f t="shared" si="7"/>
        <v>98311.099999999991</v>
      </c>
    </row>
    <row r="58" spans="1:21" x14ac:dyDescent="0.2">
      <c r="A58" s="2">
        <v>45947</v>
      </c>
      <c r="B58" s="1" t="s">
        <v>111</v>
      </c>
      <c r="C58" s="1" t="s">
        <v>22</v>
      </c>
      <c r="D58" s="1">
        <v>1178</v>
      </c>
      <c r="E58" s="1"/>
      <c r="F58" s="1"/>
      <c r="G58" s="1">
        <v>1122.57</v>
      </c>
      <c r="H58" s="1">
        <v>100</v>
      </c>
      <c r="I58" s="1">
        <f t="shared" si="8"/>
        <v>117800</v>
      </c>
      <c r="J58" s="1">
        <f t="shared" si="5"/>
        <v>-1</v>
      </c>
      <c r="K58" s="1" t="s">
        <v>43</v>
      </c>
      <c r="L58" s="1">
        <f>(G58-D58)*H58</f>
        <v>-5543.0000000000064</v>
      </c>
      <c r="M58" s="1" t="s">
        <v>91</v>
      </c>
      <c r="N58" s="1" t="s">
        <v>50</v>
      </c>
      <c r="O58" s="1" t="s">
        <v>120</v>
      </c>
      <c r="P58" s="1"/>
      <c r="Q58" s="1" t="s">
        <v>86</v>
      </c>
      <c r="R58" s="1" t="s">
        <v>25</v>
      </c>
      <c r="S58" s="1">
        <f t="shared" si="6"/>
        <v>-5543.0000000000064</v>
      </c>
      <c r="T58" s="1" t="s">
        <v>45</v>
      </c>
      <c r="U58" s="1">
        <f t="shared" si="7"/>
        <v>117800</v>
      </c>
    </row>
    <row r="59" spans="1:21" x14ac:dyDescent="0.2">
      <c r="A59" s="2">
        <v>45953</v>
      </c>
      <c r="B59" s="1" t="s">
        <v>61</v>
      </c>
      <c r="C59" s="1" t="s">
        <v>22</v>
      </c>
      <c r="D59" s="1">
        <v>113.9</v>
      </c>
      <c r="E59" s="1"/>
      <c r="F59" s="1"/>
      <c r="G59" s="1"/>
      <c r="H59" s="1">
        <v>1462</v>
      </c>
      <c r="I59" s="1">
        <f t="shared" si="8"/>
        <v>166521.80000000002</v>
      </c>
      <c r="J59" s="1">
        <f t="shared" si="5"/>
        <v>-1</v>
      </c>
      <c r="K59" s="1"/>
      <c r="L59" s="1"/>
      <c r="M59" s="1"/>
      <c r="N59" s="1"/>
      <c r="O59" s="1"/>
      <c r="P59" s="1"/>
      <c r="Q59" s="1" t="s">
        <v>86</v>
      </c>
      <c r="R59" s="1" t="s">
        <v>25</v>
      </c>
      <c r="S59" s="1">
        <f t="shared" si="6"/>
        <v>0</v>
      </c>
      <c r="T59" s="1"/>
      <c r="U59" s="1">
        <f t="shared" si="7"/>
        <v>166521.80000000002</v>
      </c>
    </row>
    <row r="60" spans="1:21" x14ac:dyDescent="0.2">
      <c r="A60" s="2">
        <v>45954</v>
      </c>
      <c r="B60" s="1" t="s">
        <v>112</v>
      </c>
      <c r="C60" s="1" t="s">
        <v>22</v>
      </c>
      <c r="D60" s="1">
        <v>160.13</v>
      </c>
      <c r="E60" s="1"/>
      <c r="F60" s="1"/>
      <c r="G60" s="1">
        <v>152.69999999999999</v>
      </c>
      <c r="H60" s="1">
        <v>745</v>
      </c>
      <c r="I60" s="1">
        <f t="shared" si="8"/>
        <v>119296.84999999999</v>
      </c>
      <c r="J60" s="1">
        <f t="shared" si="5"/>
        <v>-1</v>
      </c>
      <c r="K60" s="1" t="s">
        <v>43</v>
      </c>
      <c r="L60" s="1">
        <f t="shared" ref="L60:L65" si="11">(G60-D60)*H60</f>
        <v>-5535.3500000000049</v>
      </c>
      <c r="M60" s="1" t="s">
        <v>91</v>
      </c>
      <c r="N60" s="1" t="s">
        <v>50</v>
      </c>
      <c r="O60" s="1"/>
      <c r="P60" s="1"/>
      <c r="Q60" s="1" t="s">
        <v>86</v>
      </c>
      <c r="R60" s="1" t="s">
        <v>25</v>
      </c>
      <c r="S60" s="1">
        <f t="shared" si="6"/>
        <v>-5535.3500000000049</v>
      </c>
      <c r="T60" s="1" t="s">
        <v>45</v>
      </c>
      <c r="U60" s="1">
        <f t="shared" si="7"/>
        <v>119296.84999999999</v>
      </c>
    </row>
    <row r="61" spans="1:21" x14ac:dyDescent="0.2">
      <c r="A61" s="2">
        <v>45959</v>
      </c>
      <c r="B61" s="1" t="s">
        <v>118</v>
      </c>
      <c r="C61" s="1" t="s">
        <v>22</v>
      </c>
      <c r="D61" s="1">
        <v>647.5</v>
      </c>
      <c r="E61" s="1"/>
      <c r="F61" s="1"/>
      <c r="G61" s="1">
        <v>730.77</v>
      </c>
      <c r="H61" s="1">
        <v>183</v>
      </c>
      <c r="I61" s="1">
        <f t="shared" ref="I61:I65" si="12">(D61-E61)*H61</f>
        <v>118492.5</v>
      </c>
      <c r="J61" s="1">
        <f t="shared" ref="J61:J65" si="13">(F61-D61)/(D61-E61)</f>
        <v>-1</v>
      </c>
      <c r="K61" s="1" t="s">
        <v>46</v>
      </c>
      <c r="L61" s="1">
        <f t="shared" si="11"/>
        <v>15238.409999999996</v>
      </c>
      <c r="M61" s="1" t="s">
        <v>91</v>
      </c>
      <c r="N61" s="1" t="s">
        <v>121</v>
      </c>
      <c r="O61" s="1" t="s">
        <v>122</v>
      </c>
      <c r="P61" s="1"/>
      <c r="Q61" s="1" t="s">
        <v>86</v>
      </c>
      <c r="R61" s="1" t="s">
        <v>25</v>
      </c>
      <c r="S61" s="1">
        <f t="shared" ref="S61:S65" si="14">L61</f>
        <v>15238.409999999996</v>
      </c>
      <c r="T61" s="1" t="s">
        <v>45</v>
      </c>
      <c r="U61" s="1">
        <f t="shared" si="7"/>
        <v>118492.5</v>
      </c>
    </row>
    <row r="62" spans="1:21" x14ac:dyDescent="0.2">
      <c r="A62" s="2">
        <v>45960</v>
      </c>
      <c r="B62" s="1" t="s">
        <v>119</v>
      </c>
      <c r="C62" s="1" t="s">
        <v>22</v>
      </c>
      <c r="D62" s="1">
        <v>1355</v>
      </c>
      <c r="E62" s="1"/>
      <c r="F62" s="1"/>
      <c r="G62" s="1"/>
      <c r="H62" s="1">
        <v>87</v>
      </c>
      <c r="I62" s="1">
        <f t="shared" si="12"/>
        <v>117885</v>
      </c>
      <c r="J62" s="1">
        <f t="shared" si="13"/>
        <v>-1</v>
      </c>
      <c r="K62" s="1"/>
      <c r="L62" s="1"/>
      <c r="M62" s="1" t="s">
        <v>91</v>
      </c>
      <c r="N62" s="1"/>
      <c r="O62" s="1"/>
      <c r="P62" s="1"/>
      <c r="Q62" s="1" t="s">
        <v>86</v>
      </c>
      <c r="R62" s="1" t="s">
        <v>25</v>
      </c>
      <c r="S62" s="1">
        <f t="shared" si="14"/>
        <v>0</v>
      </c>
      <c r="T62" s="1"/>
      <c r="U62" s="1">
        <f t="shared" si="7"/>
        <v>117885</v>
      </c>
    </row>
    <row r="63" spans="1:21" x14ac:dyDescent="0.2">
      <c r="A63" s="2">
        <v>45965</v>
      </c>
      <c r="B63" s="1" t="s">
        <v>123</v>
      </c>
      <c r="C63" s="1" t="s">
        <v>22</v>
      </c>
      <c r="D63" s="1">
        <v>1907.05</v>
      </c>
      <c r="E63" s="1"/>
      <c r="F63" s="1"/>
      <c r="G63" s="1"/>
      <c r="H63" s="1">
        <v>62</v>
      </c>
      <c r="I63" s="1">
        <f t="shared" si="12"/>
        <v>118237.09999999999</v>
      </c>
      <c r="J63" s="1">
        <f t="shared" si="13"/>
        <v>-1</v>
      </c>
      <c r="K63" s="1"/>
      <c r="L63" s="1"/>
      <c r="M63" s="1" t="s">
        <v>91</v>
      </c>
      <c r="N63" s="1"/>
      <c r="O63" s="1"/>
      <c r="P63" s="1"/>
      <c r="Q63" s="1" t="s">
        <v>86</v>
      </c>
      <c r="R63" s="1" t="s">
        <v>25</v>
      </c>
      <c r="S63" s="1">
        <f t="shared" si="14"/>
        <v>0</v>
      </c>
      <c r="T63" s="1"/>
      <c r="U63" s="1">
        <f t="shared" si="7"/>
        <v>118237.09999999999</v>
      </c>
    </row>
    <row r="64" spans="1:21" x14ac:dyDescent="0.2">
      <c r="A64" s="2">
        <v>45964</v>
      </c>
      <c r="B64" s="1" t="s">
        <v>125</v>
      </c>
      <c r="C64" s="1" t="s">
        <v>22</v>
      </c>
      <c r="D64" s="1">
        <v>2955</v>
      </c>
      <c r="E64" s="1"/>
      <c r="F64" s="1"/>
      <c r="G64" s="1"/>
      <c r="H64" s="1">
        <v>55</v>
      </c>
      <c r="I64" s="1">
        <f t="shared" si="12"/>
        <v>162525</v>
      </c>
      <c r="J64" s="1">
        <f t="shared" si="13"/>
        <v>-1</v>
      </c>
      <c r="K64" s="1"/>
      <c r="L64" s="1"/>
      <c r="M64" s="1" t="s">
        <v>91</v>
      </c>
      <c r="N64" s="1"/>
      <c r="O64" s="1"/>
      <c r="P64" s="1"/>
      <c r="Q64" s="1" t="s">
        <v>86</v>
      </c>
      <c r="R64" s="1" t="s">
        <v>25</v>
      </c>
      <c r="S64" s="1">
        <f t="shared" si="14"/>
        <v>0</v>
      </c>
      <c r="T64" s="1"/>
      <c r="U64" s="1">
        <f t="shared" si="7"/>
        <v>162525</v>
      </c>
    </row>
    <row r="65" spans="1:21" x14ac:dyDescent="0.2">
      <c r="A65" s="2">
        <v>45964</v>
      </c>
      <c r="B65" s="1" t="s">
        <v>124</v>
      </c>
      <c r="C65" s="1" t="s">
        <v>22</v>
      </c>
      <c r="D65" s="1">
        <v>227</v>
      </c>
      <c r="E65" s="1"/>
      <c r="F65" s="1"/>
      <c r="G65" s="1">
        <v>217.41</v>
      </c>
      <c r="H65" s="1">
        <v>533</v>
      </c>
      <c r="I65" s="1">
        <f t="shared" si="12"/>
        <v>120991</v>
      </c>
      <c r="J65" s="1">
        <f t="shared" si="13"/>
        <v>-1</v>
      </c>
      <c r="K65" s="1" t="s">
        <v>43</v>
      </c>
      <c r="L65" s="1">
        <f t="shared" si="11"/>
        <v>-5111.4700000000021</v>
      </c>
      <c r="M65" s="1" t="s">
        <v>91</v>
      </c>
      <c r="N65" s="1"/>
      <c r="O65" s="1"/>
      <c r="P65" s="1"/>
      <c r="Q65" s="1" t="s">
        <v>86</v>
      </c>
      <c r="R65" s="1" t="s">
        <v>25</v>
      </c>
      <c r="S65" s="1">
        <f t="shared" si="14"/>
        <v>-5111.4700000000021</v>
      </c>
      <c r="T65" s="1" t="s">
        <v>45</v>
      </c>
      <c r="U65" s="1">
        <f t="shared" si="7"/>
        <v>120991</v>
      </c>
    </row>
  </sheetData>
  <autoFilter ref="A1:U58" xr:uid="{8090FE0B-E5CF-476B-8F9F-EA27021FD68D}">
    <sortState xmlns:xlrd2="http://schemas.microsoft.com/office/spreadsheetml/2017/richdata2" ref="A2:U60">
      <sortCondition ref="A1:A60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trading_journal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Dhondkar, Ravi Sakharam</cp:lastModifiedBy>
  <dcterms:created xsi:type="dcterms:W3CDTF">2025-06-15T17:14:23Z</dcterms:created>
  <dcterms:modified xsi:type="dcterms:W3CDTF">2025-11-07T20:14:59Z</dcterms:modified>
</cp:coreProperties>
</file>